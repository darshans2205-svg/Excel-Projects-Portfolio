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Data" sheetId="1" state="visible" r:id="rId3"/>
    <sheet name="Dashboard" sheetId="2" state="visible" r:id="rId4"/>
    <sheet name="Reorder Alerts" sheetId="3" state="visible" r:id="rId5"/>
    <sheet name="VBA Macros Co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<sst xmlns="http://schemas.openxmlformats.org/spreadsheetml/2006/main" count="235" uniqueCount="120">
  <si>
    <t xml:space="preserve">Item ID</t>
  </si>
  <si>
    <t xml:space="preserve">Product Name</t>
  </si>
  <si>
    <t xml:space="preserve">Category</t>
  </si>
  <si>
    <t xml:space="preserve">Supplier</t>
  </si>
  <si>
    <t xml:space="preserve">Warehouse</t>
  </si>
  <si>
    <t xml:space="preserve">Unit Cost</t>
  </si>
  <si>
    <t xml:space="preserve">Selling Price</t>
  </si>
  <si>
    <t xml:space="preserve">Stock Qty</t>
  </si>
  <si>
    <t xml:space="preserve">Reorder Level</t>
  </si>
  <si>
    <t xml:space="preserve">Stock Value</t>
  </si>
  <si>
    <t xml:space="preserve">Profit Margin</t>
  </si>
  <si>
    <t xml:space="preserve">Status</t>
  </si>
  <si>
    <t xml:space="preserve">Days Since Restock</t>
  </si>
  <si>
    <t xml:space="preserve">INV001</t>
  </si>
  <si>
    <t xml:space="preserve">Laptop</t>
  </si>
  <si>
    <t xml:space="preserve">Electronics</t>
  </si>
  <si>
    <t xml:space="preserve">TechSupplies Ltd</t>
  </si>
  <si>
    <t xml:space="preserve">Mumbai WH</t>
  </si>
  <si>
    <t xml:space="preserve">INV002</t>
  </si>
  <si>
    <t xml:space="preserve">Mobile</t>
  </si>
  <si>
    <t xml:space="preserve">Delhi WH</t>
  </si>
  <si>
    <t xml:space="preserve">INV003</t>
  </si>
  <si>
    <t xml:space="preserve">Tablet</t>
  </si>
  <si>
    <t xml:space="preserve">Bangalore WH</t>
  </si>
  <si>
    <t xml:space="preserve">INV004</t>
  </si>
  <si>
    <t xml:space="preserve">Smartwatch</t>
  </si>
  <si>
    <t xml:space="preserve">INV005</t>
  </si>
  <si>
    <t xml:space="preserve">Earphones</t>
  </si>
  <si>
    <t xml:space="preserve">INV006</t>
  </si>
  <si>
    <t xml:space="preserve">Camera</t>
  </si>
  <si>
    <t xml:space="preserve">INV007</t>
  </si>
  <si>
    <t xml:space="preserve">T-Shirt</t>
  </si>
  <si>
    <t xml:space="preserve">Clothing</t>
  </si>
  <si>
    <t xml:space="preserve">Fashion World</t>
  </si>
  <si>
    <t xml:space="preserve">INV008</t>
  </si>
  <si>
    <t xml:space="preserve">Jeans</t>
  </si>
  <si>
    <t xml:space="preserve">INV009</t>
  </si>
  <si>
    <t xml:space="preserve">Jacket</t>
  </si>
  <si>
    <t xml:space="preserve">INV010</t>
  </si>
  <si>
    <t xml:space="preserve">Saree</t>
  </si>
  <si>
    <t xml:space="preserve">Chennai WH</t>
  </si>
  <si>
    <t xml:space="preserve">INV011</t>
  </si>
  <si>
    <t xml:space="preserve">Kurta</t>
  </si>
  <si>
    <t xml:space="preserve">INV012</t>
  </si>
  <si>
    <t xml:space="preserve">Shoes</t>
  </si>
  <si>
    <t xml:space="preserve">INV013</t>
  </si>
  <si>
    <t xml:space="preserve">Chair</t>
  </si>
  <si>
    <t xml:space="preserve">Furniture</t>
  </si>
  <si>
    <t xml:space="preserve">HomeFurnish Co</t>
  </si>
  <si>
    <t xml:space="preserve">INV014</t>
  </si>
  <si>
    <t xml:space="preserve">Desk</t>
  </si>
  <si>
    <t xml:space="preserve">INV015</t>
  </si>
  <si>
    <t xml:space="preserve">Cabinet</t>
  </si>
  <si>
    <t xml:space="preserve">INV016</t>
  </si>
  <si>
    <t xml:space="preserve">Bookshelf</t>
  </si>
  <si>
    <t xml:space="preserve">INV017</t>
  </si>
  <si>
    <t xml:space="preserve">Sofa</t>
  </si>
  <si>
    <t xml:space="preserve">INV018</t>
  </si>
  <si>
    <t xml:space="preserve">Bed Frame</t>
  </si>
  <si>
    <t xml:space="preserve">INV019</t>
  </si>
  <si>
    <t xml:space="preserve">Soap</t>
  </si>
  <si>
    <t xml:space="preserve">FMCG</t>
  </si>
  <si>
    <t xml:space="preserve">QuickMart</t>
  </si>
  <si>
    <t xml:space="preserve">INV020</t>
  </si>
  <si>
    <t xml:space="preserve">Shampoo</t>
  </si>
  <si>
    <t xml:space="preserve">INV021</t>
  </si>
  <si>
    <t xml:space="preserve">Toothpaste</t>
  </si>
  <si>
    <t xml:space="preserve">INV022</t>
  </si>
  <si>
    <t xml:space="preserve">Oil</t>
  </si>
  <si>
    <t xml:space="preserve">INV023</t>
  </si>
  <si>
    <t xml:space="preserve">Biscuits</t>
  </si>
  <si>
    <t xml:space="preserve">INV024</t>
  </si>
  <si>
    <t xml:space="preserve">Chips</t>
  </si>
  <si>
    <t xml:space="preserve">INV025</t>
  </si>
  <si>
    <t xml:space="preserve">Pen Box</t>
  </si>
  <si>
    <t xml:space="preserve">Stationery</t>
  </si>
  <si>
    <t xml:space="preserve">OfficeHub</t>
  </si>
  <si>
    <t xml:space="preserve">INV026</t>
  </si>
  <si>
    <t xml:space="preserve">Notebook</t>
  </si>
  <si>
    <t xml:space="preserve">INV027</t>
  </si>
  <si>
    <t xml:space="preserve">Stapler</t>
  </si>
  <si>
    <t xml:space="preserve">INV028</t>
  </si>
  <si>
    <t xml:space="preserve">Folder</t>
  </si>
  <si>
    <t xml:space="preserve">INV029</t>
  </si>
  <si>
    <t xml:space="preserve">Marker Set</t>
  </si>
  <si>
    <t xml:space="preserve">INV030</t>
  </si>
  <si>
    <t xml:space="preserve">Tape</t>
  </si>
  <si>
    <t xml:space="preserve">INV031</t>
  </si>
  <si>
    <t xml:space="preserve">Drill</t>
  </si>
  <si>
    <t xml:space="preserve">Tools</t>
  </si>
  <si>
    <t xml:space="preserve">ToolMaster</t>
  </si>
  <si>
    <t xml:space="preserve">INV032</t>
  </si>
  <si>
    <t xml:space="preserve">Hammer</t>
  </si>
  <si>
    <t xml:space="preserve">INV033</t>
  </si>
  <si>
    <t xml:space="preserve">Wrench Set</t>
  </si>
  <si>
    <t xml:space="preserve">INV034</t>
  </si>
  <si>
    <t xml:space="preserve">Screwdriver</t>
  </si>
  <si>
    <t xml:space="preserve">INV035</t>
  </si>
  <si>
    <t xml:space="preserve">Saw</t>
  </si>
  <si>
    <t xml:space="preserve">INV036</t>
  </si>
  <si>
    <t xml:space="preserve">Pliers</t>
  </si>
  <si>
    <t xml:space="preserve">📦  INVENTORY MANAGEMENT DASHBOARD</t>
  </si>
  <si>
    <t xml:space="preserve">📦 Total Items</t>
  </si>
  <si>
    <t xml:space="preserve">💰 Total Stock Value</t>
  </si>
  <si>
    <t xml:space="preserve">⚠ Low Stock Items</t>
  </si>
  <si>
    <t xml:space="preserve">⛔ Out of Stock</t>
  </si>
  <si>
    <t xml:space="preserve">📊 Avg Margin</t>
  </si>
  <si>
    <t xml:space="preserve">Items</t>
  </si>
  <si>
    <t xml:space="preserve">Total Value</t>
  </si>
  <si>
    <t xml:space="preserve">Low Stock</t>
  </si>
  <si>
    <t xml:space="preserve">🔴 REORDER ALERT SYSTEM — Items Needing Attention</t>
  </si>
  <si>
    <t xml:space="preserve">Product</t>
  </si>
  <si>
    <t xml:space="preserve">Action Required</t>
  </si>
  <si>
    <t xml:space="preserve">⚠ Items listed below need immediate reordering</t>
  </si>
  <si>
    <t xml:space="preserve">Order 56 units</t>
  </si>
  <si>
    <t xml:space="preserve">Order 94 units</t>
  </si>
  <si>
    <t xml:space="preserve">Order 64 units</t>
  </si>
  <si>
    <t xml:space="preserve">Order 102 units</t>
  </si>
  <si>
    <t xml:space="preserve">💻 Inventory VBA Macros — Alt+F11 → Insert Module → Paste</t>
  </si>
  <si>
    <t xml:space="preserve">
' ================================================================
' MACRO 1: Highlight All Low Stock Items
' ================================================================
Sub HighlightLowStock()
    Dim ws As Worksheet
    Dim lastRow As Long, i As Long
    Set ws = ThisWorkbook.Sheets("Inventory Data")
    lastRow = ws.Cells(ws.Rows.Count, 1).End(xlUp).Row
    For i = 2 To lastRow
        Dim stock As Long
        Dim reorder As Long
        stock = ws.Cells(i, 8).Value
        reorder = ws.Cells(i, 9).Value
        If stock = 0 Then
            ws.Rows(i).Interior.Color = RGB(255, 199, 206)  ' Red
        ElseIf stock &lt; reorder Then
            ws.Rows(i).Interior.Color = RGB(255, 242, 204)  ' Yellow
        Else
            ws.Rows(i).Interior.ColorIndex = xlNone  ' Clear
        End If
    Next i
    MsgBox "Stock status colors applied!", vbInformation
End Sub
' ================================================================
' MACRO 2: Generate Low Stock Report in New Sheet
' ================================================================
Sub GenerateLowStockReport()
    Dim wsSrc As Worksheet, wsDst As Worksheet
    Dim lastRow As Long, i As Long, dstRow As Long
    Set wsSrc = ThisWorkbook.Sheets("Inventory Data")
    lastRow = wsSrc.Cells(wsSrc.Rows.Count, 1).End(xlUp).Row
    ' Delete old report if exists
    On Error Resume Next
    Application.DisplayAlerts = False
    ThisWorkbook.Sheets("Low Stock Report").Delete
    Application.DisplayAlerts = True
    On Error GoTo 0
    ' Create new sheet
    Set wsDst = ThisWorkbook.Sheets.Add(After:=ThisWorkbook.Sheets(ThisWorkbook.Sheets.Count))
    wsDst.Name = "Low Stock Report"
    ' Headers
    Dim headers As Variant
    headers = Array("Item ID", "Product", "Category", "Stock Qty", "Reorder Level", "Shortage")
    For i = 0 To 5
        wsDst.Cells(1, i + 1).Value = headers(i)
        wsDst.Cells(1, i + 1).Font.Bold = True
        wsDst.Cells(1, i + 1).Interior.Color = RGB(31, 56, 100)
        wsDst.Cells(1, i + 1).Font.Color = RGB(255, 255, 255)
    Next i
    dstRow = 2
    For i = 2 To lastRow
        If wsSrc.Cells(i, 8).Value &lt; wsSrc.Cells(i, 9).Value Then
            wsDst.Cells(dstRow, 1).Value = wsSrc.Cells(i, 1).Value
            wsDst.Cells(dstRow, 2).Value = wsSrc.Cells(i, 2).Value
            wsDst.Cells(dstRow, 3).Value = wsSrc.Cells(i, 3).Value
            wsDst.Cells(dstRow, 4).Value = wsSrc.Cells(i, 8).Value
            wsDst.Cells(dstRow, 5).Value = wsSrc.Cells(i, 9).Value
            wsDst.Cells(dstRow, 6).Value = wsSrc.Cells(i, 9).Value - wsSrc.Cells(i, 8).Value
            dstRow = dstRow + 1
        End If
    Next i
    MsgBox "Low Stock Report created! " &amp; (dstRow - 2) &amp; " items need reordering.", vbInformation
End Sub
' ================================================================
' MACRO 3: Update Stock Quantity via InputBox
' ================================================================
Sub UpdateStock()
    Dim ws As Worksheet
    Dim itemID As String, newQty As Long
    Dim lastRow As Long, i As Long, found As Boolean
    Set ws = ThisWorkbook.Sheets("Inventory Data")
    lastRow = ws.Cells(ws.Rows.Count, 1).End(xlUp).Row
    itemID = InputBox("Enter Item ID to update (e.g., INV001):", "Update Stock")
    If itemID = "" Then Exit Sub
    For i = 2 To lastRow
        If UCase(ws.Cells(i, 1).Value) = UCase(itemID) Then
            found = True
            Dim currentQty As Long
            currentQty = ws.Cells(i, 8).Value
            newQty = InputBox("Current stock: " &amp; currentQty &amp; Chr(10) &amp; "Enter new quantity:", "Update Stock", currentQty)
            ws.Cells(i, 8).Value = newQty
            MsgBox "Stock updated for " &amp; ws.Cells(i, 2).Value &amp; ": " &amp; newQty &amp; " units", vbInformation
            Exit For
        End If
    Next i
    If Not found Then MsgBox "Item ID not found: " &amp; itemID, vbExclamation
End Sub
' ================================================================
' MACRO 4: Calculate Total Inventory Value by Category
' ================================================================
Sub CategoryValueSummary()
    Dim ws As Worksheet
    Dim lastRow As Long, i As Long
    Dim catValues As Object
    Set catValues = CreateObject("Scripting.Dictionary")
    Set ws = ThisWorkbook.Sheets("Inventory Data")
    lastRow = ws.Cells(ws.Rows.Count, 1).End(xlUp).Row
    For i = 2 To lastRow
        Dim cat As String
        Dim val As Double
        cat = ws.Cells(i, 3).Value
        val = ws.Cells(i, 10).Value
        If catValues.Exists(cat) Then
            catValues(cat) = catValues(cat) + val
        Else
            catValues.Add cat, val
        End If
    Next i
    Dim msg As String
    msg = "=== INVENTORY VALUE BY CATEGORY ===" &amp; Chr(10)
    Dim key As Variant
    For Each key In catValues.Keys
        msg = msg &amp; key &amp; ": Rs." &amp; Format(catValues(key), "#,##0") &amp; Chr(10)
    Next key
    MsgBox msg, vbInformation, "Category Value Summary"
End Sub
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</si>
</sst>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"/>
    <numFmt numFmtId="166" formatCode="0.0%"/>
    <numFmt numFmtId="167" formatCode="#,##0"/>
    <numFmt numFmtId="168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FFFFFF"/>
      <name val="Calibri"/>
      <family val="0"/>
      <charset val="1"/>
    </font>
    <font>
      <i val="true"/>
      <sz val="10"/>
      <color rgb="FFC00000"/>
      <name val="Cambria"/>
      <family val="0"/>
      <charset val="1"/>
    </font>
    <font>
      <b val="true"/>
      <sz val="13"/>
      <color rgb="FFFFFFFF"/>
      <name val="Calibri"/>
      <family val="0"/>
      <charset val="1"/>
    </font>
    <font>
      <sz val="9"/>
      <name val="Courier New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4F81BD"/>
      </patternFill>
    </fill>
    <fill>
      <patternFill patternType="solid">
        <fgColor rgb="FF375623"/>
        <bgColor rgb="FF333300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1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9F9F9"/>
      <rgbColor rgb="FF99CCFF"/>
      <rgbColor rgb="FFFF99CC"/>
      <rgbColor rgb="FFCC99FF"/>
      <rgbColor rgb="FFD9D9D9"/>
      <rgbColor rgb="FF2E75B6"/>
      <rgbColor rgb="FF33CCCC"/>
      <rgbColor rgb="FF99CC00"/>
      <rgbColor rgb="FFFFCC00"/>
      <rgbColor rgb="FFFF9900"/>
      <rgbColor rgb="FFED7D31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 Value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Dashboard!C12</c:f>
              <c:strCache>
                <c:ptCount val="1"/>
                <c:pt idx="0">
                  <c:v>Total 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Dashboard!$A$13:$A$18</c:f>
              <c:strCache>
                <c:ptCount val="6"/>
                <c:pt idx="0">
                  <c:v>Electronics</c:v>
                </c:pt>
                <c:pt idx="1">
                  <c:v>Clothing</c:v>
                </c:pt>
                <c:pt idx="2">
                  <c:v>Furniture</c:v>
                </c:pt>
                <c:pt idx="3">
                  <c:v>FMCG</c:v>
                </c:pt>
                <c:pt idx="4">
                  <c:v>Stationery</c:v>
                </c:pt>
                <c:pt idx="5">
                  <c:v>Tools</c:v>
                </c:pt>
              </c:strCache>
            </c:strRef>
          </c:cat>
          <c:val>
            <c:numRef>
              <c:f>Dashboard!$C$13:$C$18</c:f>
              <c:numCache>
                <c:formatCode>\₹#,##0</c:formatCode>
                <c:ptCount val="6"/>
                <c:pt idx="0">
                  <c:v>1257755</c:v>
                </c:pt>
                <c:pt idx="1">
                  <c:v>3262958</c:v>
                </c:pt>
                <c:pt idx="2">
                  <c:v>1246173</c:v>
                </c:pt>
                <c:pt idx="3">
                  <c:v>2670242</c:v>
                </c:pt>
                <c:pt idx="4">
                  <c:v>2225052</c:v>
                </c:pt>
                <c:pt idx="5">
                  <c:v>2558427</c:v>
                </c:pt>
              </c:numCache>
            </c:numRef>
          </c:val>
        </c:ser>
        <c:gapWidth val="150"/>
        <c:overlap val="0"/>
        <c:axId val="12288755"/>
        <c:axId val="59573208"/>
      </c:barChart>
      <c:catAx>
        <c:axId val="122887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73208"/>
        <c:crosses val="autoZero"/>
        <c:auto val="1"/>
        <c:lblAlgn val="ctr"/>
        <c:lblOffset val="100"/>
        <c:noMultiLvlLbl val="0"/>
      </c:catAx>
      <c:valAx>
        <c:axId val="595732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887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11</xdr:row>
      <xdr:rowOff>0</xdr:rowOff>
    </xdr:from>
    <xdr:to>
      <xdr:col>14</xdr:col>
      <xdr:colOff>50400</xdr:colOff>
      <xdr:row>29</xdr:row>
      <xdr:rowOff>58320</xdr:rowOff>
    </xdr:to>
    <xdr:graphicFrame>
      <xdr:nvGraphicFramePr>
        <xdr:cNvPr id="0" name="Chart 1"/>
        <xdr:cNvGraphicFramePr/>
      </xdr:nvGraphicFramePr>
      <xdr:xfrm>
        <a:off x="3171960" y="244800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 t="n">
        <v>3359</v>
      </c>
      <c r="G2" s="3" t="n">
        <v>5053</v>
      </c>
      <c r="H2" s="2" t="n">
        <v>91</v>
      </c>
      <c r="I2" s="2" t="n">
        <v>34</v>
      </c>
      <c r="J2" s="3" t="n">
        <f aca="false">F2*H2</f>
        <v>305669</v>
      </c>
      <c r="K2" s="4" t="n">
        <f aca="false">IF(F2&gt;0,(G2-F2)/F2,0)</f>
        <v>0.504316760940756</v>
      </c>
      <c r="L2" s="2" t="str">
        <f aca="false">IF(H2=0,"⛔ OUT OF STOCK",IF(H2&lt;I2,"🔴 Low Stock","✅ In Stock"))</f>
        <v>✅ In Stock</v>
      </c>
      <c r="M2" s="2" t="n">
        <v>18</v>
      </c>
    </row>
    <row r="3" customFormat="false" ht="15" hidden="false" customHeight="false" outlineLevel="0" collapsed="false">
      <c r="A3" s="5" t="s">
        <v>18</v>
      </c>
      <c r="B3" s="5" t="s">
        <v>19</v>
      </c>
      <c r="C3" s="5" t="s">
        <v>15</v>
      </c>
      <c r="D3" s="5" t="s">
        <v>16</v>
      </c>
      <c r="E3" s="5" t="s">
        <v>20</v>
      </c>
      <c r="F3" s="6" t="n">
        <v>759</v>
      </c>
      <c r="G3" s="6" t="n">
        <v>1063</v>
      </c>
      <c r="H3" s="5" t="n">
        <v>196</v>
      </c>
      <c r="I3" s="5" t="n">
        <v>53</v>
      </c>
      <c r="J3" s="6" t="n">
        <f aca="false">F3*H3</f>
        <v>148764</v>
      </c>
      <c r="K3" s="7" t="n">
        <f aca="false">IF(F3&gt;0,(G3-F3)/F3,0)</f>
        <v>0.400527009222661</v>
      </c>
      <c r="L3" s="5" t="str">
        <f aca="false">IF(H3=0,"⛔ OUT OF STOCK",IF(H3&lt;I3,"🔴 Low Stock","✅ In Stock"))</f>
        <v>✅ In Stock</v>
      </c>
      <c r="M3" s="5" t="n">
        <v>80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15</v>
      </c>
      <c r="D4" s="2" t="s">
        <v>16</v>
      </c>
      <c r="E4" s="2" t="s">
        <v>23</v>
      </c>
      <c r="F4" s="3" t="n">
        <v>4058</v>
      </c>
      <c r="G4" s="3" t="n">
        <v>5517</v>
      </c>
      <c r="H4" s="2" t="n">
        <v>110</v>
      </c>
      <c r="I4" s="2" t="n">
        <v>70</v>
      </c>
      <c r="J4" s="3" t="n">
        <f aca="false">F4*H4</f>
        <v>446380</v>
      </c>
      <c r="K4" s="4" t="n">
        <f aca="false">IF(F4&gt;0,(G4-F4)/F4,0)</f>
        <v>0.359536717594874</v>
      </c>
      <c r="L4" s="2" t="str">
        <f aca="false">IF(H4=0,"⛔ OUT OF STOCK",IF(H4&lt;I4,"🔴 Low Stock","✅ In Stock"))</f>
        <v>✅ In Stock</v>
      </c>
      <c r="M4" s="2" t="n">
        <v>50</v>
      </c>
    </row>
    <row r="5" customFormat="false" ht="15" hidden="false" customHeight="false" outlineLevel="0" collapsed="false">
      <c r="A5" s="5" t="s">
        <v>24</v>
      </c>
      <c r="B5" s="5" t="s">
        <v>25</v>
      </c>
      <c r="C5" s="5" t="s">
        <v>15</v>
      </c>
      <c r="D5" s="5" t="s">
        <v>16</v>
      </c>
      <c r="E5" s="5" t="s">
        <v>23</v>
      </c>
      <c r="F5" s="6" t="n">
        <v>1791</v>
      </c>
      <c r="G5" s="6" t="n">
        <v>2367</v>
      </c>
      <c r="H5" s="5" t="n">
        <v>91</v>
      </c>
      <c r="I5" s="5" t="n">
        <v>74</v>
      </c>
      <c r="J5" s="6" t="n">
        <f aca="false">F5*H5</f>
        <v>162981</v>
      </c>
      <c r="K5" s="7" t="n">
        <f aca="false">IF(F5&gt;0,(G5-F5)/F5,0)</f>
        <v>0.321608040201005</v>
      </c>
      <c r="L5" s="5" t="str">
        <f aca="false">IF(H5=0,"⛔ OUT OF STOCK",IF(H5&lt;I5,"🔴 Low Stock","✅ In Stock"))</f>
        <v>✅ In Stock</v>
      </c>
      <c r="M5" s="5" t="n">
        <v>11</v>
      </c>
    </row>
    <row r="6" customFormat="false" ht="15" hidden="false" customHeight="false" outlineLevel="0" collapsed="false">
      <c r="A6" s="8" t="s">
        <v>26</v>
      </c>
      <c r="B6" s="8" t="s">
        <v>27</v>
      </c>
      <c r="C6" s="8" t="s">
        <v>15</v>
      </c>
      <c r="D6" s="8" t="s">
        <v>16</v>
      </c>
      <c r="E6" s="8" t="s">
        <v>23</v>
      </c>
      <c r="F6" s="9" t="n">
        <v>4381</v>
      </c>
      <c r="G6" s="9" t="n">
        <v>7631</v>
      </c>
      <c r="H6" s="8" t="n">
        <v>44</v>
      </c>
      <c r="I6" s="8" t="n">
        <v>50</v>
      </c>
      <c r="J6" s="9" t="n">
        <f aca="false">F6*H6</f>
        <v>192764</v>
      </c>
      <c r="K6" s="10" t="n">
        <f aca="false">IF(F6&gt;0,(G6-F6)/F6,0)</f>
        <v>0.741839762611276</v>
      </c>
      <c r="L6" s="8" t="str">
        <f aca="false">IF(H6=0,"⛔ OUT OF STOCK",IF(H6&lt;I6,"🔴 Low Stock","✅ In Stock"))</f>
        <v>🔴 Low Stock</v>
      </c>
      <c r="M6" s="8" t="n">
        <v>52</v>
      </c>
    </row>
    <row r="7" customFormat="false" ht="15" hidden="false" customHeight="false" outlineLevel="0" collapsed="false">
      <c r="A7" s="8" t="s">
        <v>28</v>
      </c>
      <c r="B7" s="8" t="s">
        <v>29</v>
      </c>
      <c r="C7" s="8" t="s">
        <v>15</v>
      </c>
      <c r="D7" s="8" t="s">
        <v>16</v>
      </c>
      <c r="E7" s="8" t="s">
        <v>17</v>
      </c>
      <c r="F7" s="9" t="n">
        <v>399</v>
      </c>
      <c r="G7" s="9" t="n">
        <v>564</v>
      </c>
      <c r="H7" s="8" t="n">
        <v>3</v>
      </c>
      <c r="I7" s="8" t="n">
        <v>47</v>
      </c>
      <c r="J7" s="9" t="n">
        <f aca="false">F7*H7</f>
        <v>1197</v>
      </c>
      <c r="K7" s="10" t="n">
        <f aca="false">IF(F7&gt;0,(G7-F7)/F7,0)</f>
        <v>0.413533834586466</v>
      </c>
      <c r="L7" s="8" t="str">
        <f aca="false">IF(H7=0,"⛔ OUT OF STOCK",IF(H7&lt;I7,"🔴 Low Stock","✅ In Stock"))</f>
        <v>🔴 Low Stock</v>
      </c>
      <c r="M7" s="8" t="n">
        <v>47</v>
      </c>
    </row>
    <row r="8" customFormat="false" ht="15" hidden="false" customHeight="false" outlineLevel="0" collapsed="false">
      <c r="A8" s="2" t="s">
        <v>30</v>
      </c>
      <c r="B8" s="2" t="s">
        <v>31</v>
      </c>
      <c r="C8" s="2" t="s">
        <v>32</v>
      </c>
      <c r="D8" s="2" t="s">
        <v>33</v>
      </c>
      <c r="E8" s="2" t="s">
        <v>17</v>
      </c>
      <c r="F8" s="3" t="n">
        <v>4427</v>
      </c>
      <c r="G8" s="3" t="n">
        <v>5598</v>
      </c>
      <c r="H8" s="2" t="n">
        <v>265</v>
      </c>
      <c r="I8" s="2" t="n">
        <v>77</v>
      </c>
      <c r="J8" s="3" t="n">
        <f aca="false">F8*H8</f>
        <v>1173155</v>
      </c>
      <c r="K8" s="4" t="n">
        <f aca="false">IF(F8&gt;0,(G8-F8)/F8,0)</f>
        <v>0.264513214366388</v>
      </c>
      <c r="L8" s="2" t="str">
        <f aca="false">IF(H8=0,"⛔ OUT OF STOCK",IF(H8&lt;I8,"🔴 Low Stock","✅ In Stock"))</f>
        <v>✅ In Stock</v>
      </c>
      <c r="M8" s="2" t="n">
        <v>78</v>
      </c>
    </row>
    <row r="9" customFormat="false" ht="15" hidden="false" customHeight="false" outlineLevel="0" collapsed="false">
      <c r="A9" s="5" t="s">
        <v>34</v>
      </c>
      <c r="B9" s="5" t="s">
        <v>35</v>
      </c>
      <c r="C9" s="5" t="s">
        <v>32</v>
      </c>
      <c r="D9" s="5" t="s">
        <v>33</v>
      </c>
      <c r="E9" s="5" t="s">
        <v>17</v>
      </c>
      <c r="F9" s="6" t="n">
        <v>3840</v>
      </c>
      <c r="G9" s="6" t="n">
        <v>7608</v>
      </c>
      <c r="H9" s="5" t="n">
        <v>183</v>
      </c>
      <c r="I9" s="5" t="n">
        <v>28</v>
      </c>
      <c r="J9" s="6" t="n">
        <f aca="false">F9*H9</f>
        <v>702720</v>
      </c>
      <c r="K9" s="7" t="n">
        <f aca="false">IF(F9&gt;0,(G9-F9)/F9,0)</f>
        <v>0.98125</v>
      </c>
      <c r="L9" s="5" t="str">
        <f aca="false">IF(H9=0,"⛔ OUT OF STOCK",IF(H9&lt;I9,"🔴 Low Stock","✅ In Stock"))</f>
        <v>✅ In Stock</v>
      </c>
      <c r="M9" s="5" t="n">
        <v>21</v>
      </c>
    </row>
    <row r="10" customFormat="false" ht="15" hidden="false" customHeight="false" outlineLevel="0" collapsed="false">
      <c r="A10" s="2" t="s">
        <v>36</v>
      </c>
      <c r="B10" s="2" t="s">
        <v>37</v>
      </c>
      <c r="C10" s="2" t="s">
        <v>32</v>
      </c>
      <c r="D10" s="2" t="s">
        <v>33</v>
      </c>
      <c r="E10" s="2" t="s">
        <v>17</v>
      </c>
      <c r="F10" s="3" t="n">
        <v>3668</v>
      </c>
      <c r="G10" s="3" t="n">
        <v>6148</v>
      </c>
      <c r="H10" s="2" t="n">
        <v>90</v>
      </c>
      <c r="I10" s="2" t="n">
        <v>80</v>
      </c>
      <c r="J10" s="3" t="n">
        <f aca="false">F10*H10</f>
        <v>330120</v>
      </c>
      <c r="K10" s="4" t="n">
        <f aca="false">IF(F10&gt;0,(G10-F10)/F10,0)</f>
        <v>0.676117775354417</v>
      </c>
      <c r="L10" s="2" t="str">
        <f aca="false">IF(H10=0,"⛔ OUT OF STOCK",IF(H10&lt;I10,"🔴 Low Stock","✅ In Stock"))</f>
        <v>✅ In Stock</v>
      </c>
      <c r="M10" s="2" t="n">
        <v>5</v>
      </c>
    </row>
    <row r="11" customFormat="false" ht="15" hidden="false" customHeight="false" outlineLevel="0" collapsed="false">
      <c r="A11" s="5" t="s">
        <v>38</v>
      </c>
      <c r="B11" s="5" t="s">
        <v>39</v>
      </c>
      <c r="C11" s="5" t="s">
        <v>32</v>
      </c>
      <c r="D11" s="5" t="s">
        <v>33</v>
      </c>
      <c r="E11" s="5" t="s">
        <v>40</v>
      </c>
      <c r="F11" s="6" t="n">
        <v>949</v>
      </c>
      <c r="G11" s="6" t="n">
        <v>1156</v>
      </c>
      <c r="H11" s="5" t="n">
        <v>242</v>
      </c>
      <c r="I11" s="5" t="n">
        <v>63</v>
      </c>
      <c r="J11" s="6" t="n">
        <f aca="false">F11*H11</f>
        <v>229658</v>
      </c>
      <c r="K11" s="7" t="n">
        <f aca="false">IF(F11&gt;0,(G11-F11)/F11,0)</f>
        <v>0.218124341412013</v>
      </c>
      <c r="L11" s="5" t="str">
        <f aca="false">IF(H11=0,"⛔ OUT OF STOCK",IF(H11&lt;I11,"🔴 Low Stock","✅ In Stock"))</f>
        <v>✅ In Stock</v>
      </c>
      <c r="M11" s="5" t="n">
        <v>11</v>
      </c>
    </row>
    <row r="12" customFormat="false" ht="15" hidden="false" customHeight="false" outlineLevel="0" collapsed="false">
      <c r="A12" s="2" t="s">
        <v>41</v>
      </c>
      <c r="B12" s="2" t="s">
        <v>42</v>
      </c>
      <c r="C12" s="2" t="s">
        <v>32</v>
      </c>
      <c r="D12" s="2" t="s">
        <v>33</v>
      </c>
      <c r="E12" s="2" t="s">
        <v>20</v>
      </c>
      <c r="F12" s="3" t="n">
        <v>3535</v>
      </c>
      <c r="G12" s="3" t="n">
        <v>6029</v>
      </c>
      <c r="H12" s="2" t="n">
        <v>73</v>
      </c>
      <c r="I12" s="2" t="n">
        <v>39</v>
      </c>
      <c r="J12" s="3" t="n">
        <f aca="false">F12*H12</f>
        <v>258055</v>
      </c>
      <c r="K12" s="4" t="n">
        <f aca="false">IF(F12&gt;0,(G12-F12)/F12,0)</f>
        <v>0.705516265912306</v>
      </c>
      <c r="L12" s="2" t="str">
        <f aca="false">IF(H12=0,"⛔ OUT OF STOCK",IF(H12&lt;I12,"🔴 Low Stock","✅ In Stock"))</f>
        <v>✅ In Stock</v>
      </c>
      <c r="M12" s="2" t="n">
        <v>49</v>
      </c>
    </row>
    <row r="13" customFormat="false" ht="15" hidden="false" customHeight="false" outlineLevel="0" collapsed="false">
      <c r="A13" s="5" t="s">
        <v>43</v>
      </c>
      <c r="B13" s="5" t="s">
        <v>44</v>
      </c>
      <c r="C13" s="5" t="s">
        <v>32</v>
      </c>
      <c r="D13" s="5" t="s">
        <v>33</v>
      </c>
      <c r="E13" s="5" t="s">
        <v>20</v>
      </c>
      <c r="F13" s="6" t="n">
        <v>2750</v>
      </c>
      <c r="G13" s="6" t="n">
        <v>3598</v>
      </c>
      <c r="H13" s="5" t="n">
        <v>207</v>
      </c>
      <c r="I13" s="5" t="n">
        <v>32</v>
      </c>
      <c r="J13" s="6" t="n">
        <f aca="false">F13*H13</f>
        <v>569250</v>
      </c>
      <c r="K13" s="7" t="n">
        <f aca="false">IF(F13&gt;0,(G13-F13)/F13,0)</f>
        <v>0.308363636363636</v>
      </c>
      <c r="L13" s="5" t="str">
        <f aca="false">IF(H13=0,"⛔ OUT OF STOCK",IF(H13&lt;I13,"🔴 Low Stock","✅ In Stock"))</f>
        <v>✅ In Stock</v>
      </c>
      <c r="M13" s="5" t="n">
        <v>82</v>
      </c>
    </row>
    <row r="14" customFormat="false" ht="15" hidden="false" customHeight="false" outlineLevel="0" collapsed="false">
      <c r="A14" s="2" t="s">
        <v>45</v>
      </c>
      <c r="B14" s="2" t="s">
        <v>46</v>
      </c>
      <c r="C14" s="2" t="s">
        <v>47</v>
      </c>
      <c r="D14" s="2" t="s">
        <v>48</v>
      </c>
      <c r="E14" s="2" t="s">
        <v>17</v>
      </c>
      <c r="F14" s="3" t="n">
        <v>1782</v>
      </c>
      <c r="G14" s="3" t="n">
        <v>2769</v>
      </c>
      <c r="H14" s="2" t="n">
        <v>279</v>
      </c>
      <c r="I14" s="2" t="n">
        <v>45</v>
      </c>
      <c r="J14" s="3" t="n">
        <f aca="false">F14*H14</f>
        <v>497178</v>
      </c>
      <c r="K14" s="4" t="n">
        <f aca="false">IF(F14&gt;0,(G14-F14)/F14,0)</f>
        <v>0.553872053872054</v>
      </c>
      <c r="L14" s="2" t="str">
        <f aca="false">IF(H14=0,"⛔ OUT OF STOCK",IF(H14&lt;I14,"🔴 Low Stock","✅ In Stock"))</f>
        <v>✅ In Stock</v>
      </c>
      <c r="M14" s="2" t="n">
        <v>46</v>
      </c>
    </row>
    <row r="15" customFormat="false" ht="15" hidden="false" customHeight="false" outlineLevel="0" collapsed="false">
      <c r="A15" s="5" t="s">
        <v>49</v>
      </c>
      <c r="B15" s="5" t="s">
        <v>50</v>
      </c>
      <c r="C15" s="5" t="s">
        <v>47</v>
      </c>
      <c r="D15" s="5" t="s">
        <v>48</v>
      </c>
      <c r="E15" s="5" t="s">
        <v>17</v>
      </c>
      <c r="F15" s="6" t="n">
        <v>3950</v>
      </c>
      <c r="G15" s="6" t="n">
        <v>7654</v>
      </c>
      <c r="H15" s="5" t="n">
        <v>67</v>
      </c>
      <c r="I15" s="5" t="n">
        <v>67</v>
      </c>
      <c r="J15" s="6" t="n">
        <f aca="false">F15*H15</f>
        <v>264650</v>
      </c>
      <c r="K15" s="7" t="n">
        <f aca="false">IF(F15&gt;0,(G15-F15)/F15,0)</f>
        <v>0.937721518987342</v>
      </c>
      <c r="L15" s="5" t="str">
        <f aca="false">IF(H15=0,"⛔ OUT OF STOCK",IF(H15&lt;I15,"🔴 Low Stock","✅ In Stock"))</f>
        <v>✅ In Stock</v>
      </c>
      <c r="M15" s="5" t="n">
        <v>78</v>
      </c>
    </row>
    <row r="16" customFormat="false" ht="15" hidden="false" customHeight="false" outlineLevel="0" collapsed="false">
      <c r="A16" s="2" t="s">
        <v>51</v>
      </c>
      <c r="B16" s="2" t="s">
        <v>52</v>
      </c>
      <c r="C16" s="2" t="s">
        <v>47</v>
      </c>
      <c r="D16" s="2" t="s">
        <v>48</v>
      </c>
      <c r="E16" s="2" t="s">
        <v>23</v>
      </c>
      <c r="F16" s="3" t="n">
        <v>3394</v>
      </c>
      <c r="G16" s="3" t="n">
        <v>4410</v>
      </c>
      <c r="H16" s="2" t="n">
        <v>60</v>
      </c>
      <c r="I16" s="2" t="n">
        <v>29</v>
      </c>
      <c r="J16" s="3" t="n">
        <f aca="false">F16*H16</f>
        <v>203640</v>
      </c>
      <c r="K16" s="4" t="n">
        <f aca="false">IF(F16&gt;0,(G16-F16)/F16,0)</f>
        <v>0.299351797289334</v>
      </c>
      <c r="L16" s="2" t="str">
        <f aca="false">IF(H16=0,"⛔ OUT OF STOCK",IF(H16&lt;I16,"🔴 Low Stock","✅ In Stock"))</f>
        <v>✅ In Stock</v>
      </c>
      <c r="M16" s="2" t="n">
        <v>23</v>
      </c>
    </row>
    <row r="17" customFormat="false" ht="15" hidden="false" customHeight="false" outlineLevel="0" collapsed="false">
      <c r="A17" s="5" t="s">
        <v>53</v>
      </c>
      <c r="B17" s="5" t="s">
        <v>54</v>
      </c>
      <c r="C17" s="5" t="s">
        <v>47</v>
      </c>
      <c r="D17" s="5" t="s">
        <v>48</v>
      </c>
      <c r="E17" s="5" t="s">
        <v>23</v>
      </c>
      <c r="F17" s="6" t="n">
        <v>1505</v>
      </c>
      <c r="G17" s="6" t="n">
        <v>2299</v>
      </c>
      <c r="H17" s="5" t="n">
        <v>106</v>
      </c>
      <c r="I17" s="5" t="n">
        <v>76</v>
      </c>
      <c r="J17" s="6" t="n">
        <f aca="false">F17*H17</f>
        <v>159530</v>
      </c>
      <c r="K17" s="7" t="n">
        <f aca="false">IF(F17&gt;0,(G17-F17)/F17,0)</f>
        <v>0.527574750830565</v>
      </c>
      <c r="L17" s="5" t="str">
        <f aca="false">IF(H17=0,"⛔ OUT OF STOCK",IF(H17&lt;I17,"🔴 Low Stock","✅ In Stock"))</f>
        <v>✅ In Stock</v>
      </c>
      <c r="M17" s="5" t="n">
        <v>64</v>
      </c>
    </row>
    <row r="18" customFormat="false" ht="15" hidden="false" customHeight="false" outlineLevel="0" collapsed="false">
      <c r="A18" s="8" t="s">
        <v>55</v>
      </c>
      <c r="B18" s="8" t="s">
        <v>56</v>
      </c>
      <c r="C18" s="8" t="s">
        <v>47</v>
      </c>
      <c r="D18" s="8" t="s">
        <v>48</v>
      </c>
      <c r="E18" s="8" t="s">
        <v>23</v>
      </c>
      <c r="F18" s="9" t="n">
        <v>1966</v>
      </c>
      <c r="G18" s="9" t="n">
        <v>3689</v>
      </c>
      <c r="H18" s="8" t="n">
        <v>60</v>
      </c>
      <c r="I18" s="8" t="n">
        <v>74</v>
      </c>
      <c r="J18" s="9" t="n">
        <f aca="false">F18*H18</f>
        <v>117960</v>
      </c>
      <c r="K18" s="10" t="n">
        <f aca="false">IF(F18&gt;0,(G18-F18)/F18,0)</f>
        <v>0.876398779247202</v>
      </c>
      <c r="L18" s="8" t="str">
        <f aca="false">IF(H18=0,"⛔ OUT OF STOCK",IF(H18&lt;I18,"🔴 Low Stock","✅ In Stock"))</f>
        <v>🔴 Low Stock</v>
      </c>
      <c r="M18" s="8" t="n">
        <v>24</v>
      </c>
    </row>
    <row r="19" customFormat="false" ht="15" hidden="false" customHeight="false" outlineLevel="0" collapsed="false">
      <c r="A19" s="8" t="s">
        <v>57</v>
      </c>
      <c r="B19" s="8" t="s">
        <v>58</v>
      </c>
      <c r="C19" s="8" t="s">
        <v>47</v>
      </c>
      <c r="D19" s="8" t="s">
        <v>48</v>
      </c>
      <c r="E19" s="8" t="s">
        <v>20</v>
      </c>
      <c r="F19" s="9" t="n">
        <v>643</v>
      </c>
      <c r="G19" s="9" t="n">
        <v>1029</v>
      </c>
      <c r="H19" s="8" t="n">
        <v>5</v>
      </c>
      <c r="I19" s="8" t="n">
        <v>57</v>
      </c>
      <c r="J19" s="9" t="n">
        <f aca="false">F19*H19</f>
        <v>3215</v>
      </c>
      <c r="K19" s="10" t="n">
        <f aca="false">IF(F19&gt;0,(G19-F19)/F19,0)</f>
        <v>0.600311041990669</v>
      </c>
      <c r="L19" s="8" t="str">
        <f aca="false">IF(H19=0,"⛔ OUT OF STOCK",IF(H19&lt;I19,"🔴 Low Stock","✅ In Stock"))</f>
        <v>🔴 Low Stock</v>
      </c>
      <c r="M19" s="8" t="n">
        <v>44</v>
      </c>
    </row>
    <row r="20" customFormat="false" ht="15" hidden="false" customHeight="false" outlineLevel="0" collapsed="false">
      <c r="A20" s="2" t="s">
        <v>59</v>
      </c>
      <c r="B20" s="2" t="s">
        <v>60</v>
      </c>
      <c r="C20" s="2" t="s">
        <v>61</v>
      </c>
      <c r="D20" s="2" t="s">
        <v>62</v>
      </c>
      <c r="E20" s="2" t="s">
        <v>40</v>
      </c>
      <c r="F20" s="3" t="n">
        <v>1822</v>
      </c>
      <c r="G20" s="3" t="n">
        <v>2735</v>
      </c>
      <c r="H20" s="2" t="n">
        <v>172</v>
      </c>
      <c r="I20" s="2" t="n">
        <v>72</v>
      </c>
      <c r="J20" s="3" t="n">
        <f aca="false">F20*H20</f>
        <v>313384</v>
      </c>
      <c r="K20" s="4" t="n">
        <f aca="false">IF(F20&gt;0,(G20-F20)/F20,0)</f>
        <v>0.501097694840834</v>
      </c>
      <c r="L20" s="2" t="str">
        <f aca="false">IF(H20=0,"⛔ OUT OF STOCK",IF(H20&lt;I20,"🔴 Low Stock","✅ In Stock"))</f>
        <v>✅ In Stock</v>
      </c>
      <c r="M20" s="2" t="n">
        <v>50</v>
      </c>
    </row>
    <row r="21" customFormat="false" ht="15" hidden="false" customHeight="false" outlineLevel="0" collapsed="false">
      <c r="A21" s="5" t="s">
        <v>63</v>
      </c>
      <c r="B21" s="5" t="s">
        <v>64</v>
      </c>
      <c r="C21" s="5" t="s">
        <v>61</v>
      </c>
      <c r="D21" s="5" t="s">
        <v>62</v>
      </c>
      <c r="E21" s="5" t="s">
        <v>17</v>
      </c>
      <c r="F21" s="6" t="n">
        <v>3442</v>
      </c>
      <c r="G21" s="6" t="n">
        <v>6370</v>
      </c>
      <c r="H21" s="5" t="n">
        <v>273</v>
      </c>
      <c r="I21" s="5" t="n">
        <v>25</v>
      </c>
      <c r="J21" s="6" t="n">
        <f aca="false">F21*H21</f>
        <v>939666</v>
      </c>
      <c r="K21" s="7" t="n">
        <f aca="false">IF(F21&gt;0,(G21-F21)/F21,0)</f>
        <v>0.850668216153399</v>
      </c>
      <c r="L21" s="5" t="str">
        <f aca="false">IF(H21=0,"⛔ OUT OF STOCK",IF(H21&lt;I21,"🔴 Low Stock","✅ In Stock"))</f>
        <v>✅ In Stock</v>
      </c>
      <c r="M21" s="5" t="n">
        <v>5</v>
      </c>
    </row>
    <row r="22" customFormat="false" ht="15" hidden="false" customHeight="false" outlineLevel="0" collapsed="false">
      <c r="A22" s="2" t="s">
        <v>65</v>
      </c>
      <c r="B22" s="2" t="s">
        <v>66</v>
      </c>
      <c r="C22" s="2" t="s">
        <v>61</v>
      </c>
      <c r="D22" s="2" t="s">
        <v>62</v>
      </c>
      <c r="E22" s="2" t="s">
        <v>40</v>
      </c>
      <c r="F22" s="3" t="n">
        <v>3105</v>
      </c>
      <c r="G22" s="3" t="n">
        <v>5518</v>
      </c>
      <c r="H22" s="2" t="n">
        <v>204</v>
      </c>
      <c r="I22" s="2" t="n">
        <v>69</v>
      </c>
      <c r="J22" s="3" t="n">
        <f aca="false">F22*H22</f>
        <v>633420</v>
      </c>
      <c r="K22" s="4" t="n">
        <f aca="false">IF(F22&gt;0,(G22-F22)/F22,0)</f>
        <v>0.777133655394525</v>
      </c>
      <c r="L22" s="2" t="str">
        <f aca="false">IF(H22=0,"⛔ OUT OF STOCK",IF(H22&lt;I22,"🔴 Low Stock","✅ In Stock"))</f>
        <v>✅ In Stock</v>
      </c>
      <c r="M22" s="2" t="n">
        <v>30</v>
      </c>
    </row>
    <row r="23" customFormat="false" ht="15" hidden="false" customHeight="false" outlineLevel="0" collapsed="false">
      <c r="A23" s="5" t="s">
        <v>67</v>
      </c>
      <c r="B23" s="5" t="s">
        <v>68</v>
      </c>
      <c r="C23" s="5" t="s">
        <v>61</v>
      </c>
      <c r="D23" s="5" t="s">
        <v>62</v>
      </c>
      <c r="E23" s="5" t="s">
        <v>23</v>
      </c>
      <c r="F23" s="6" t="n">
        <v>2601</v>
      </c>
      <c r="G23" s="6" t="n">
        <v>4897</v>
      </c>
      <c r="H23" s="5" t="n">
        <v>115</v>
      </c>
      <c r="I23" s="5" t="n">
        <v>61</v>
      </c>
      <c r="J23" s="6" t="n">
        <f aca="false">F23*H23</f>
        <v>299115</v>
      </c>
      <c r="K23" s="7" t="n">
        <f aca="false">IF(F23&gt;0,(G23-F23)/F23,0)</f>
        <v>0.882737408688966</v>
      </c>
      <c r="L23" s="5" t="str">
        <f aca="false">IF(H23=0,"⛔ OUT OF STOCK",IF(H23&lt;I23,"🔴 Low Stock","✅ In Stock"))</f>
        <v>✅ In Stock</v>
      </c>
      <c r="M23" s="5" t="n">
        <v>14</v>
      </c>
    </row>
    <row r="24" customFormat="false" ht="15" hidden="false" customHeight="false" outlineLevel="0" collapsed="false">
      <c r="A24" s="2" t="s">
        <v>69</v>
      </c>
      <c r="B24" s="2" t="s">
        <v>70</v>
      </c>
      <c r="C24" s="2" t="s">
        <v>61</v>
      </c>
      <c r="D24" s="2" t="s">
        <v>62</v>
      </c>
      <c r="E24" s="2" t="s">
        <v>23</v>
      </c>
      <c r="F24" s="3" t="n">
        <v>2621</v>
      </c>
      <c r="G24" s="3" t="n">
        <v>3603</v>
      </c>
      <c r="H24" s="2" t="n">
        <v>127</v>
      </c>
      <c r="I24" s="2" t="n">
        <v>44</v>
      </c>
      <c r="J24" s="3" t="n">
        <f aca="false">F24*H24</f>
        <v>332867</v>
      </c>
      <c r="K24" s="4" t="n">
        <f aca="false">IF(F24&gt;0,(G24-F24)/F24,0)</f>
        <v>0.374666157954979</v>
      </c>
      <c r="L24" s="2" t="str">
        <f aca="false">IF(H24=0,"⛔ OUT OF STOCK",IF(H24&lt;I24,"🔴 Low Stock","✅ In Stock"))</f>
        <v>✅ In Stock</v>
      </c>
      <c r="M24" s="2" t="n">
        <v>57</v>
      </c>
    </row>
    <row r="25" customFormat="false" ht="15" hidden="false" customHeight="false" outlineLevel="0" collapsed="false">
      <c r="A25" s="5" t="s">
        <v>71</v>
      </c>
      <c r="B25" s="5" t="s">
        <v>72</v>
      </c>
      <c r="C25" s="5" t="s">
        <v>61</v>
      </c>
      <c r="D25" s="5" t="s">
        <v>62</v>
      </c>
      <c r="E25" s="5" t="s">
        <v>23</v>
      </c>
      <c r="F25" s="6" t="n">
        <v>706</v>
      </c>
      <c r="G25" s="6" t="n">
        <v>1345</v>
      </c>
      <c r="H25" s="5" t="n">
        <v>215</v>
      </c>
      <c r="I25" s="5" t="n">
        <v>78</v>
      </c>
      <c r="J25" s="6" t="n">
        <f aca="false">F25*H25</f>
        <v>151790</v>
      </c>
      <c r="K25" s="7" t="n">
        <f aca="false">IF(F25&gt;0,(G25-F25)/F25,0)</f>
        <v>0.905099150141643</v>
      </c>
      <c r="L25" s="5" t="str">
        <f aca="false">IF(H25=0,"⛔ OUT OF STOCK",IF(H25&lt;I25,"🔴 Low Stock","✅ In Stock"))</f>
        <v>✅ In Stock</v>
      </c>
      <c r="M25" s="5" t="n">
        <v>9</v>
      </c>
    </row>
    <row r="26" customFormat="false" ht="15" hidden="false" customHeight="false" outlineLevel="0" collapsed="false">
      <c r="A26" s="2" t="s">
        <v>73</v>
      </c>
      <c r="B26" s="2" t="s">
        <v>74</v>
      </c>
      <c r="C26" s="2" t="s">
        <v>75</v>
      </c>
      <c r="D26" s="2" t="s">
        <v>76</v>
      </c>
      <c r="E26" s="2" t="s">
        <v>40</v>
      </c>
      <c r="F26" s="3" t="n">
        <v>4171</v>
      </c>
      <c r="G26" s="3" t="n">
        <v>5982</v>
      </c>
      <c r="H26" s="2" t="n">
        <v>164</v>
      </c>
      <c r="I26" s="2" t="n">
        <v>70</v>
      </c>
      <c r="J26" s="3" t="n">
        <f aca="false">F26*H26</f>
        <v>684044</v>
      </c>
      <c r="K26" s="4" t="n">
        <f aca="false">IF(F26&gt;0,(G26-F26)/F26,0)</f>
        <v>0.434188444018221</v>
      </c>
      <c r="L26" s="2" t="str">
        <f aca="false">IF(H26=0,"⛔ OUT OF STOCK",IF(H26&lt;I26,"🔴 Low Stock","✅ In Stock"))</f>
        <v>✅ In Stock</v>
      </c>
      <c r="M26" s="2" t="n">
        <v>69</v>
      </c>
    </row>
    <row r="27" customFormat="false" ht="15" hidden="false" customHeight="false" outlineLevel="0" collapsed="false">
      <c r="A27" s="5" t="s">
        <v>77</v>
      </c>
      <c r="B27" s="5" t="s">
        <v>78</v>
      </c>
      <c r="C27" s="5" t="s">
        <v>75</v>
      </c>
      <c r="D27" s="5" t="s">
        <v>76</v>
      </c>
      <c r="E27" s="5" t="s">
        <v>23</v>
      </c>
      <c r="F27" s="6" t="n">
        <v>1092</v>
      </c>
      <c r="G27" s="6" t="n">
        <v>2122</v>
      </c>
      <c r="H27" s="5" t="n">
        <v>131</v>
      </c>
      <c r="I27" s="5" t="n">
        <v>47</v>
      </c>
      <c r="J27" s="6" t="n">
        <f aca="false">F27*H27</f>
        <v>143052</v>
      </c>
      <c r="K27" s="7" t="n">
        <f aca="false">IF(F27&gt;0,(G27-F27)/F27,0)</f>
        <v>0.943223443223443</v>
      </c>
      <c r="L27" s="5" t="str">
        <f aca="false">IF(H27=0,"⛔ OUT OF STOCK",IF(H27&lt;I27,"🔴 Low Stock","✅ In Stock"))</f>
        <v>✅ In Stock</v>
      </c>
      <c r="M27" s="5" t="n">
        <v>53</v>
      </c>
    </row>
    <row r="28" customFormat="false" ht="15" hidden="false" customHeight="false" outlineLevel="0" collapsed="false">
      <c r="A28" s="2" t="s">
        <v>79</v>
      </c>
      <c r="B28" s="2" t="s">
        <v>80</v>
      </c>
      <c r="C28" s="2" t="s">
        <v>75</v>
      </c>
      <c r="D28" s="2" t="s">
        <v>76</v>
      </c>
      <c r="E28" s="2" t="s">
        <v>40</v>
      </c>
      <c r="F28" s="3" t="n">
        <v>1355</v>
      </c>
      <c r="G28" s="3" t="n">
        <v>1932</v>
      </c>
      <c r="H28" s="2" t="n">
        <v>225</v>
      </c>
      <c r="I28" s="2" t="n">
        <v>32</v>
      </c>
      <c r="J28" s="3" t="n">
        <f aca="false">F28*H28</f>
        <v>304875</v>
      </c>
      <c r="K28" s="4" t="n">
        <f aca="false">IF(F28&gt;0,(G28-F28)/F28,0)</f>
        <v>0.425830258302583</v>
      </c>
      <c r="L28" s="2" t="str">
        <f aca="false">IF(H28=0,"⛔ OUT OF STOCK",IF(H28&lt;I28,"🔴 Low Stock","✅ In Stock"))</f>
        <v>✅ In Stock</v>
      </c>
      <c r="M28" s="2" t="n">
        <v>44</v>
      </c>
    </row>
    <row r="29" customFormat="false" ht="15" hidden="false" customHeight="false" outlineLevel="0" collapsed="false">
      <c r="A29" s="5" t="s">
        <v>81</v>
      </c>
      <c r="B29" s="5" t="s">
        <v>82</v>
      </c>
      <c r="C29" s="5" t="s">
        <v>75</v>
      </c>
      <c r="D29" s="5" t="s">
        <v>76</v>
      </c>
      <c r="E29" s="5" t="s">
        <v>23</v>
      </c>
      <c r="F29" s="6" t="n">
        <v>1669</v>
      </c>
      <c r="G29" s="6" t="n">
        <v>2463</v>
      </c>
      <c r="H29" s="5" t="n">
        <v>181</v>
      </c>
      <c r="I29" s="5" t="n">
        <v>64</v>
      </c>
      <c r="J29" s="6" t="n">
        <f aca="false">F29*H29</f>
        <v>302089</v>
      </c>
      <c r="K29" s="7" t="n">
        <f aca="false">IF(F29&gt;0,(G29-F29)/F29,0)</f>
        <v>0.475733972438586</v>
      </c>
      <c r="L29" s="5" t="str">
        <f aca="false">IF(H29=0,"⛔ OUT OF STOCK",IF(H29&lt;I29,"🔴 Low Stock","✅ In Stock"))</f>
        <v>✅ In Stock</v>
      </c>
      <c r="M29" s="5" t="n">
        <v>25</v>
      </c>
    </row>
    <row r="30" customFormat="false" ht="15" hidden="false" customHeight="false" outlineLevel="0" collapsed="false">
      <c r="A30" s="2" t="s">
        <v>83</v>
      </c>
      <c r="B30" s="2" t="s">
        <v>84</v>
      </c>
      <c r="C30" s="2" t="s">
        <v>75</v>
      </c>
      <c r="D30" s="2" t="s">
        <v>76</v>
      </c>
      <c r="E30" s="2" t="s">
        <v>40</v>
      </c>
      <c r="F30" s="3" t="n">
        <v>1456</v>
      </c>
      <c r="G30" s="3" t="n">
        <v>2666</v>
      </c>
      <c r="H30" s="2" t="n">
        <v>133</v>
      </c>
      <c r="I30" s="2" t="n">
        <v>62</v>
      </c>
      <c r="J30" s="3" t="n">
        <f aca="false">F30*H30</f>
        <v>193648</v>
      </c>
      <c r="K30" s="4" t="n">
        <f aca="false">IF(F30&gt;0,(G30-F30)/F30,0)</f>
        <v>0.831043956043956</v>
      </c>
      <c r="L30" s="2" t="str">
        <f aca="false">IF(H30=0,"⛔ OUT OF STOCK",IF(H30&lt;I30,"🔴 Low Stock","✅ In Stock"))</f>
        <v>✅ In Stock</v>
      </c>
      <c r="M30" s="2" t="n">
        <v>30</v>
      </c>
    </row>
    <row r="31" customFormat="false" ht="15" hidden="false" customHeight="false" outlineLevel="0" collapsed="false">
      <c r="A31" s="5" t="s">
        <v>85</v>
      </c>
      <c r="B31" s="5" t="s">
        <v>86</v>
      </c>
      <c r="C31" s="5" t="s">
        <v>75</v>
      </c>
      <c r="D31" s="5" t="s">
        <v>76</v>
      </c>
      <c r="E31" s="5" t="s">
        <v>40</v>
      </c>
      <c r="F31" s="6" t="n">
        <v>3394</v>
      </c>
      <c r="G31" s="6" t="n">
        <v>6409</v>
      </c>
      <c r="H31" s="5" t="n">
        <v>176</v>
      </c>
      <c r="I31" s="5" t="n">
        <v>62</v>
      </c>
      <c r="J31" s="6" t="n">
        <f aca="false">F31*H31</f>
        <v>597344</v>
      </c>
      <c r="K31" s="7" t="n">
        <f aca="false">IF(F31&gt;0,(G31-F31)/F31,0)</f>
        <v>0.888332351208014</v>
      </c>
      <c r="L31" s="5" t="str">
        <f aca="false">IF(H31=0,"⛔ OUT OF STOCK",IF(H31&lt;I31,"🔴 Low Stock","✅ In Stock"))</f>
        <v>✅ In Stock</v>
      </c>
      <c r="M31" s="5" t="n">
        <v>1</v>
      </c>
    </row>
    <row r="32" customFormat="false" ht="15" hidden="false" customHeight="false" outlineLevel="0" collapsed="false">
      <c r="A32" s="2" t="s">
        <v>87</v>
      </c>
      <c r="B32" s="2" t="s">
        <v>88</v>
      </c>
      <c r="C32" s="2" t="s">
        <v>89</v>
      </c>
      <c r="D32" s="2" t="s">
        <v>90</v>
      </c>
      <c r="E32" s="2" t="s">
        <v>23</v>
      </c>
      <c r="F32" s="3" t="n">
        <v>970</v>
      </c>
      <c r="G32" s="3" t="n">
        <v>1553</v>
      </c>
      <c r="H32" s="2" t="n">
        <v>103</v>
      </c>
      <c r="I32" s="2" t="n">
        <v>20</v>
      </c>
      <c r="J32" s="3" t="n">
        <f aca="false">F32*H32</f>
        <v>99910</v>
      </c>
      <c r="K32" s="4" t="n">
        <f aca="false">IF(F32&gt;0,(G32-F32)/F32,0)</f>
        <v>0.601030927835052</v>
      </c>
      <c r="L32" s="2" t="str">
        <f aca="false">IF(H32=0,"⛔ OUT OF STOCK",IF(H32&lt;I32,"🔴 Low Stock","✅ In Stock"))</f>
        <v>✅ In Stock</v>
      </c>
      <c r="M32" s="2" t="n">
        <v>87</v>
      </c>
    </row>
    <row r="33" customFormat="false" ht="15" hidden="false" customHeight="false" outlineLevel="0" collapsed="false">
      <c r="A33" s="5" t="s">
        <v>91</v>
      </c>
      <c r="B33" s="5" t="s">
        <v>92</v>
      </c>
      <c r="C33" s="5" t="s">
        <v>89</v>
      </c>
      <c r="D33" s="5" t="s">
        <v>90</v>
      </c>
      <c r="E33" s="5" t="s">
        <v>17</v>
      </c>
      <c r="F33" s="6" t="n">
        <v>1421</v>
      </c>
      <c r="G33" s="6" t="n">
        <v>2286</v>
      </c>
      <c r="H33" s="5" t="n">
        <v>227</v>
      </c>
      <c r="I33" s="5" t="n">
        <v>79</v>
      </c>
      <c r="J33" s="6" t="n">
        <f aca="false">F33*H33</f>
        <v>322567</v>
      </c>
      <c r="K33" s="7" t="n">
        <f aca="false">IF(F33&gt;0,(G33-F33)/F33,0)</f>
        <v>0.608726249120338</v>
      </c>
      <c r="L33" s="5" t="str">
        <f aca="false">IF(H33=0,"⛔ OUT OF STOCK",IF(H33&lt;I33,"🔴 Low Stock","✅ In Stock"))</f>
        <v>✅ In Stock</v>
      </c>
      <c r="M33" s="5" t="n">
        <v>34</v>
      </c>
    </row>
    <row r="34" customFormat="false" ht="15" hidden="false" customHeight="false" outlineLevel="0" collapsed="false">
      <c r="A34" s="2" t="s">
        <v>93</v>
      </c>
      <c r="B34" s="2" t="s">
        <v>94</v>
      </c>
      <c r="C34" s="2" t="s">
        <v>89</v>
      </c>
      <c r="D34" s="2" t="s">
        <v>90</v>
      </c>
      <c r="E34" s="2" t="s">
        <v>23</v>
      </c>
      <c r="F34" s="3" t="n">
        <v>3464</v>
      </c>
      <c r="G34" s="3" t="n">
        <v>5453</v>
      </c>
      <c r="H34" s="2" t="n">
        <v>271</v>
      </c>
      <c r="I34" s="2" t="n">
        <v>60</v>
      </c>
      <c r="J34" s="3" t="n">
        <f aca="false">F34*H34</f>
        <v>938744</v>
      </c>
      <c r="K34" s="4" t="n">
        <f aca="false">IF(F34&gt;0,(G34-F34)/F34,0)</f>
        <v>0.57419168591224</v>
      </c>
      <c r="L34" s="2" t="str">
        <f aca="false">IF(H34=0,"⛔ OUT OF STOCK",IF(H34&lt;I34,"🔴 Low Stock","✅ In Stock"))</f>
        <v>✅ In Stock</v>
      </c>
      <c r="M34" s="2" t="n">
        <v>26</v>
      </c>
    </row>
    <row r="35" customFormat="false" ht="15" hidden="false" customHeight="false" outlineLevel="0" collapsed="false">
      <c r="A35" s="5" t="s">
        <v>95</v>
      </c>
      <c r="B35" s="5" t="s">
        <v>96</v>
      </c>
      <c r="C35" s="5" t="s">
        <v>89</v>
      </c>
      <c r="D35" s="5" t="s">
        <v>90</v>
      </c>
      <c r="E35" s="5" t="s">
        <v>20</v>
      </c>
      <c r="F35" s="6" t="n">
        <v>218</v>
      </c>
      <c r="G35" s="6" t="n">
        <v>435</v>
      </c>
      <c r="H35" s="5" t="n">
        <v>157</v>
      </c>
      <c r="I35" s="5" t="n">
        <v>24</v>
      </c>
      <c r="J35" s="6" t="n">
        <f aca="false">F35*H35</f>
        <v>34226</v>
      </c>
      <c r="K35" s="7" t="n">
        <f aca="false">IF(F35&gt;0,(G35-F35)/F35,0)</f>
        <v>0.995412844036697</v>
      </c>
      <c r="L35" s="5" t="str">
        <f aca="false">IF(H35=0,"⛔ OUT OF STOCK",IF(H35&lt;I35,"🔴 Low Stock","✅ In Stock"))</f>
        <v>✅ In Stock</v>
      </c>
      <c r="M35" s="5" t="n">
        <v>8</v>
      </c>
    </row>
    <row r="36" customFormat="false" ht="15" hidden="false" customHeight="false" outlineLevel="0" collapsed="false">
      <c r="A36" s="2" t="s">
        <v>97</v>
      </c>
      <c r="B36" s="2" t="s">
        <v>98</v>
      </c>
      <c r="C36" s="2" t="s">
        <v>89</v>
      </c>
      <c r="D36" s="2" t="s">
        <v>90</v>
      </c>
      <c r="E36" s="2" t="s">
        <v>23</v>
      </c>
      <c r="F36" s="3" t="n">
        <v>3464</v>
      </c>
      <c r="G36" s="3" t="n">
        <v>4987</v>
      </c>
      <c r="H36" s="2" t="n">
        <v>285</v>
      </c>
      <c r="I36" s="2" t="n">
        <v>60</v>
      </c>
      <c r="J36" s="3" t="n">
        <f aca="false">F36*H36</f>
        <v>987240</v>
      </c>
      <c r="K36" s="4" t="n">
        <f aca="false">IF(F36&gt;0,(G36-F36)/F36,0)</f>
        <v>0.439665127020785</v>
      </c>
      <c r="L36" s="2" t="str">
        <f aca="false">IF(H36=0,"⛔ OUT OF STOCK",IF(H36&lt;I36,"🔴 Low Stock","✅ In Stock"))</f>
        <v>✅ In Stock</v>
      </c>
      <c r="M36" s="2" t="n">
        <v>25</v>
      </c>
    </row>
    <row r="37" customFormat="false" ht="15" hidden="false" customHeight="false" outlineLevel="0" collapsed="false">
      <c r="A37" s="5" t="s">
        <v>99</v>
      </c>
      <c r="B37" s="5" t="s">
        <v>100</v>
      </c>
      <c r="C37" s="5" t="s">
        <v>89</v>
      </c>
      <c r="D37" s="5" t="s">
        <v>90</v>
      </c>
      <c r="E37" s="5" t="s">
        <v>17</v>
      </c>
      <c r="F37" s="6" t="n">
        <v>870</v>
      </c>
      <c r="G37" s="6" t="n">
        <v>1734</v>
      </c>
      <c r="H37" s="5" t="n">
        <v>202</v>
      </c>
      <c r="I37" s="5" t="n">
        <v>45</v>
      </c>
      <c r="J37" s="6" t="n">
        <f aca="false">F37*H37</f>
        <v>175740</v>
      </c>
      <c r="K37" s="7" t="n">
        <f aca="false">IF(F37&gt;0,(G37-F37)/F37,0)</f>
        <v>0.993103448275862</v>
      </c>
      <c r="L37" s="5" t="str">
        <f aca="false">IF(H37=0,"⛔ OUT OF STOCK",IF(H37&lt;I37,"🔴 Low Stock","✅ In Stock"))</f>
        <v>✅ In Stock</v>
      </c>
      <c r="M37" s="5" t="n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U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9"/>
  </cols>
  <sheetData>
    <row r="1" customFormat="false" ht="48" hidden="false" customHeight="true" outlineLevel="0" collapsed="false">
      <c r="A1" s="11" t="s">
        <v>101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</row>
    <row r="2" customFormat="false" ht="9.75" hidden="false" customHeight="true" outlineLevel="0" collapsed="false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/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customFormat="false" ht="15" hidden="false" customHeight="false" outlineLevel="0" collapsed="false">
      <c r="A4" s="12"/>
      <c r="B4" s="13" t="s">
        <v>102</v>
      </c>
      <c r="C4" s="13"/>
      <c r="D4" s="13"/>
      <c r="E4" s="12"/>
      <c r="F4" s="14" t="s">
        <v>103</v>
      </c>
      <c r="G4" s="14"/>
      <c r="H4" s="14"/>
      <c r="I4" s="12"/>
      <c r="J4" s="15" t="s">
        <v>104</v>
      </c>
      <c r="K4" s="15"/>
      <c r="L4" s="15"/>
      <c r="M4" s="12"/>
      <c r="N4" s="16" t="s">
        <v>105</v>
      </c>
      <c r="O4" s="16"/>
      <c r="P4" s="16"/>
      <c r="Q4" s="12"/>
      <c r="R4" s="17" t="s">
        <v>106</v>
      </c>
      <c r="S4" s="17"/>
      <c r="T4" s="17"/>
      <c r="U4" s="12"/>
    </row>
    <row r="5" customFormat="false" ht="15" hidden="false" customHeight="false" outlineLevel="0" collapsed="false">
      <c r="A5" s="12"/>
      <c r="B5" s="18" t="n">
        <f aca="false">COUNTA('Inventory Data'!A2:A37)</f>
        <v>36</v>
      </c>
      <c r="C5" s="18"/>
      <c r="D5" s="18"/>
      <c r="E5" s="12"/>
      <c r="F5" s="19" t="n">
        <f aca="false">SUM('Inventory Data'!J2:J37)</f>
        <v>13220607</v>
      </c>
      <c r="G5" s="19"/>
      <c r="H5" s="19"/>
      <c r="I5" s="12"/>
      <c r="J5" s="20" t="n">
        <f aca="false">COUNTIF('Inventory Data'!L2:L37,"🔴 Low Stock")</f>
        <v>4</v>
      </c>
      <c r="K5" s="20"/>
      <c r="L5" s="20"/>
      <c r="M5" s="12"/>
      <c r="N5" s="21" t="n">
        <f aca="false">COUNTIF('Inventory Data'!L2:L37,"⛔ OUT OF STOCK")</f>
        <v>0</v>
      </c>
      <c r="O5" s="21"/>
      <c r="P5" s="21"/>
      <c r="Q5" s="12"/>
      <c r="R5" s="22" t="n">
        <f aca="false">AVERAGE('Inventory Data'!K2:K37)</f>
        <v>0.616454508094253</v>
      </c>
      <c r="S5" s="22"/>
      <c r="T5" s="22"/>
      <c r="U5" s="12"/>
    </row>
    <row r="6" customFormat="false" ht="15" hidden="false" customHeight="false" outlineLevel="0" collapsed="false">
      <c r="A6" s="12"/>
      <c r="B6" s="18"/>
      <c r="C6" s="18"/>
      <c r="D6" s="18"/>
      <c r="E6" s="12"/>
      <c r="F6" s="19"/>
      <c r="G6" s="19"/>
      <c r="H6" s="19"/>
      <c r="I6" s="12"/>
      <c r="J6" s="20"/>
      <c r="K6" s="20"/>
      <c r="L6" s="20"/>
      <c r="M6" s="12"/>
      <c r="N6" s="21"/>
      <c r="O6" s="21"/>
      <c r="P6" s="21"/>
      <c r="Q6" s="12"/>
      <c r="R6" s="22"/>
      <c r="S6" s="22"/>
      <c r="T6" s="22"/>
      <c r="U6" s="12"/>
    </row>
    <row r="7" customFormat="false" ht="15" hidden="false" customHeight="false" outlineLevel="0" collapsed="false">
      <c r="A7" s="12"/>
      <c r="B7" s="18"/>
      <c r="C7" s="18"/>
      <c r="D7" s="18"/>
      <c r="E7" s="12"/>
      <c r="F7" s="19"/>
      <c r="G7" s="19"/>
      <c r="H7" s="19"/>
      <c r="I7" s="12"/>
      <c r="J7" s="20"/>
      <c r="K7" s="20"/>
      <c r="L7" s="20"/>
      <c r="M7" s="12"/>
      <c r="N7" s="21"/>
      <c r="O7" s="21"/>
      <c r="P7" s="21"/>
      <c r="Q7" s="12"/>
      <c r="R7" s="22"/>
      <c r="S7" s="22"/>
      <c r="T7" s="22"/>
      <c r="U7" s="12"/>
    </row>
    <row r="8" customFormat="false" ht="15" hidden="false" customHeight="false" outlineLevel="0" collapsed="false">
      <c r="A8" s="12"/>
      <c r="B8" s="23"/>
      <c r="C8" s="23"/>
      <c r="D8" s="23"/>
      <c r="E8" s="12"/>
      <c r="F8" s="24"/>
      <c r="G8" s="24"/>
      <c r="H8" s="24"/>
      <c r="I8" s="12"/>
      <c r="J8" s="25"/>
      <c r="K8" s="25"/>
      <c r="L8" s="25"/>
      <c r="M8" s="12"/>
      <c r="N8" s="26"/>
      <c r="O8" s="26"/>
      <c r="P8" s="26"/>
      <c r="Q8" s="12"/>
      <c r="R8" s="27"/>
      <c r="S8" s="27"/>
      <c r="T8" s="27"/>
      <c r="U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customFormat="false" ht="23.85" hidden="false" customHeight="false" outlineLevel="0" collapsed="false">
      <c r="A12" s="28" t="s">
        <v>2</v>
      </c>
      <c r="B12" s="28" t="s">
        <v>107</v>
      </c>
      <c r="C12" s="28" t="s">
        <v>108</v>
      </c>
      <c r="D12" s="28" t="s">
        <v>109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customFormat="false" ht="15" hidden="false" customHeight="false" outlineLevel="0" collapsed="false">
      <c r="A13" s="29" t="s">
        <v>15</v>
      </c>
      <c r="B13" s="30" t="n">
        <f aca="false">COUNTIF('Inventory Data'!C2:C37,A13)</f>
        <v>6</v>
      </c>
      <c r="C13" s="31" t="n">
        <f aca="false">SUMIF('Inventory Data'!C2:C37,A13,'Inventory Data'!J2:J37)</f>
        <v>1257755</v>
      </c>
      <c r="D13" s="30" t="n">
        <f aca="false">COUNTIFS('Inventory Data'!C2:C37,A13,'Inventory Data'!L2:L37,"🔴 Low Stock")</f>
        <v>2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customFormat="false" ht="15" hidden="false" customHeight="false" outlineLevel="0" collapsed="false">
      <c r="A14" s="29" t="s">
        <v>32</v>
      </c>
      <c r="B14" s="32" t="n">
        <f aca="false">COUNTIF('Inventory Data'!C2:C37,A14)</f>
        <v>6</v>
      </c>
      <c r="C14" s="33" t="n">
        <f aca="false">SUMIF('Inventory Data'!C2:C37,A14,'Inventory Data'!J2:J37)</f>
        <v>3262958</v>
      </c>
      <c r="D14" s="32" t="n">
        <f aca="false">COUNTIFS('Inventory Data'!C2:C37,A14,'Inventory Data'!L2:L37,"🔴 Low Stock")</f>
        <v>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customFormat="false" ht="15" hidden="false" customHeight="false" outlineLevel="0" collapsed="false">
      <c r="A15" s="29" t="s">
        <v>47</v>
      </c>
      <c r="B15" s="30" t="n">
        <f aca="false">COUNTIF('Inventory Data'!C2:C37,A15)</f>
        <v>6</v>
      </c>
      <c r="C15" s="31" t="n">
        <f aca="false">SUMIF('Inventory Data'!C2:C37,A15,'Inventory Data'!J2:J37)</f>
        <v>1246173</v>
      </c>
      <c r="D15" s="30" t="n">
        <f aca="false">COUNTIFS('Inventory Data'!C2:C37,A15,'Inventory Data'!L2:L37,"🔴 Low Stock")</f>
        <v>2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customFormat="false" ht="15" hidden="false" customHeight="false" outlineLevel="0" collapsed="false">
      <c r="A16" s="29" t="s">
        <v>61</v>
      </c>
      <c r="B16" s="32" t="n">
        <f aca="false">COUNTIF('Inventory Data'!C2:C37,A16)</f>
        <v>6</v>
      </c>
      <c r="C16" s="33" t="n">
        <f aca="false">SUMIF('Inventory Data'!C2:C37,A16,'Inventory Data'!J2:J37)</f>
        <v>2670242</v>
      </c>
      <c r="D16" s="32" t="n">
        <f aca="false">COUNTIFS('Inventory Data'!C2:C37,A16,'Inventory Data'!L2:L37,"🔴 Low Stock")</f>
        <v>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customFormat="false" ht="15" hidden="false" customHeight="false" outlineLevel="0" collapsed="false">
      <c r="A17" s="29" t="s">
        <v>75</v>
      </c>
      <c r="B17" s="30" t="n">
        <f aca="false">COUNTIF('Inventory Data'!C2:C37,A17)</f>
        <v>6</v>
      </c>
      <c r="C17" s="31" t="n">
        <f aca="false">SUMIF('Inventory Data'!C2:C37,A17,'Inventory Data'!J2:J37)</f>
        <v>2225052</v>
      </c>
      <c r="D17" s="30" t="n">
        <f aca="false">COUNTIFS('Inventory Data'!C2:C37,A17,'Inventory Data'!L2:L37,"🔴 Low Stock")</f>
        <v>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customFormat="false" ht="15" hidden="false" customHeight="false" outlineLevel="0" collapsed="false">
      <c r="A18" s="29" t="s">
        <v>89</v>
      </c>
      <c r="B18" s="32" t="n">
        <f aca="false">COUNTIF('Inventory Data'!C2:C37,A18)</f>
        <v>6</v>
      </c>
      <c r="C18" s="33" t="n">
        <f aca="false">SUMIF('Inventory Data'!C2:C37,A18,'Inventory Data'!J2:J37)</f>
        <v>2558427</v>
      </c>
      <c r="D18" s="32" t="n">
        <f aca="false">COUNTIFS('Inventory Data'!C2:C37,A18,'Inventory Data'!L2:L37,"🔴 Low Stock")</f>
        <v>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</sheetData>
  <mergeCells count="11">
    <mergeCell ref="A1:T2"/>
    <mergeCell ref="B4:D4"/>
    <mergeCell ref="F4:H4"/>
    <mergeCell ref="J4:L4"/>
    <mergeCell ref="N4:P4"/>
    <mergeCell ref="R4:T4"/>
    <mergeCell ref="B5:D7"/>
    <mergeCell ref="F5:H7"/>
    <mergeCell ref="J5:L7"/>
    <mergeCell ref="N5:P7"/>
    <mergeCell ref="R5:T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30" hidden="false" customHeight="true" outlineLevel="0" collapsed="false">
      <c r="A1" s="34" t="s">
        <v>110</v>
      </c>
      <c r="B1" s="34"/>
      <c r="C1" s="34"/>
      <c r="D1" s="34"/>
      <c r="E1" s="34"/>
      <c r="F1" s="34"/>
    </row>
    <row r="3" customFormat="false" ht="15" hidden="false" customHeight="false" outlineLevel="0" collapsed="false">
      <c r="A3" s="35" t="s">
        <v>0</v>
      </c>
      <c r="B3" s="35" t="s">
        <v>111</v>
      </c>
      <c r="C3" s="35" t="s">
        <v>2</v>
      </c>
      <c r="D3" s="35" t="s">
        <v>7</v>
      </c>
      <c r="E3" s="35" t="s">
        <v>8</v>
      </c>
      <c r="F3" s="35" t="s">
        <v>112</v>
      </c>
    </row>
    <row r="4" customFormat="false" ht="15" hidden="false" customHeight="false" outlineLevel="0" collapsed="false">
      <c r="A4" s="36" t="s">
        <v>113</v>
      </c>
      <c r="B4" s="36"/>
      <c r="C4" s="36"/>
      <c r="D4" s="36"/>
      <c r="E4" s="36"/>
      <c r="F4" s="36"/>
    </row>
    <row r="5" customFormat="false" ht="15" hidden="false" customHeight="false" outlineLevel="0" collapsed="false">
      <c r="A5" s="8" t="s">
        <v>26</v>
      </c>
      <c r="B5" s="8" t="s">
        <v>27</v>
      </c>
      <c r="C5" s="8" t="s">
        <v>15</v>
      </c>
      <c r="D5" s="8" t="n">
        <v>44</v>
      </c>
      <c r="E5" s="8" t="n">
        <v>50</v>
      </c>
      <c r="F5" s="8" t="s">
        <v>114</v>
      </c>
    </row>
    <row r="6" customFormat="false" ht="15" hidden="false" customHeight="false" outlineLevel="0" collapsed="false">
      <c r="A6" s="8" t="s">
        <v>28</v>
      </c>
      <c r="B6" s="8" t="s">
        <v>29</v>
      </c>
      <c r="C6" s="8" t="s">
        <v>15</v>
      </c>
      <c r="D6" s="8" t="n">
        <v>3</v>
      </c>
      <c r="E6" s="8" t="n">
        <v>47</v>
      </c>
      <c r="F6" s="8" t="s">
        <v>115</v>
      </c>
    </row>
    <row r="7" customFormat="false" ht="15" hidden="false" customHeight="false" outlineLevel="0" collapsed="false">
      <c r="A7" s="8" t="s">
        <v>55</v>
      </c>
      <c r="B7" s="8" t="s">
        <v>56</v>
      </c>
      <c r="C7" s="8" t="s">
        <v>47</v>
      </c>
      <c r="D7" s="8" t="n">
        <v>60</v>
      </c>
      <c r="E7" s="8" t="n">
        <v>74</v>
      </c>
      <c r="F7" s="8" t="s">
        <v>116</v>
      </c>
    </row>
    <row r="8" customFormat="false" ht="15" hidden="false" customHeight="false" outlineLevel="0" collapsed="false">
      <c r="A8" s="8" t="s">
        <v>57</v>
      </c>
      <c r="B8" s="8" t="s">
        <v>58</v>
      </c>
      <c r="C8" s="8" t="s">
        <v>47</v>
      </c>
      <c r="D8" s="8" t="n">
        <v>5</v>
      </c>
      <c r="E8" s="8" t="n">
        <v>57</v>
      </c>
      <c r="F8" s="8" t="s">
        <v>117</v>
      </c>
    </row>
  </sheetData>
  <mergeCells count="2">
    <mergeCell ref="A1:F1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30" hidden="false" customHeight="true" outlineLevel="0" collapsed="false">
      <c r="A1" s="37" t="s">
        <v>118</v>
      </c>
      <c r="B1" s="37"/>
      <c r="C1" s="37"/>
    </row>
    <row r="3" customFormat="false" ht="499.5" hidden="false" customHeight="true" outlineLevel="0" collapsed="false">
      <c r="A3" s="38" t="s">
        <v>119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2026-06-09T04:51:40Z</dcterms:created>
  <dc:creator>openpyxl</dc:creator>
  <dc:description/>
  <dc:language>en-US</dc:language>
  <cp:lastModifiedBy/>
  <dcterms:modified xsi:type="dcterms:W3CDTF">2026-06-09T04:52:00Z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