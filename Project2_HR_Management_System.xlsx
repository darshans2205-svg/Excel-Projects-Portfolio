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Database" sheetId="1" state="visible" r:id="rId3"/>
    <sheet name="Salary Calculator" sheetId="2" state="visible" r:id="rId4"/>
    <sheet name="HR Analytics" sheetId="3" state="visible" r:id="rId5"/>
    <sheet name="VBA Macros Co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<sst xmlns="http://schemas.openxmlformats.org/spreadsheetml/2006/main" count="354" uniqueCount="175">
  <si>
    <t xml:space="preserve">Emp ID</t>
  </si>
  <si>
    <t xml:space="preserve">Name</t>
  </si>
  <si>
    <t xml:space="preserve">Department</t>
  </si>
  <si>
    <t xml:space="preserve">Designation</t>
  </si>
  <si>
    <t xml:space="preserve">City</t>
  </si>
  <si>
    <t xml:space="preserve">Join Date</t>
  </si>
  <si>
    <t xml:space="preserve">Basic Salary</t>
  </si>
  <si>
    <t xml:space="preserve">HRA (40%)</t>
  </si>
  <si>
    <t xml:space="preserve">PF (12%)</t>
  </si>
  <si>
    <t xml:space="preserve">Gross Salary</t>
  </si>
  <si>
    <t xml:space="preserve">Status</t>
  </si>
  <si>
    <t xml:space="preserve">Performance Rating</t>
  </si>
  <si>
    <t xml:space="preserve">Grade</t>
  </si>
  <si>
    <t xml:space="preserve">Experience (Yrs)</t>
  </si>
  <si>
    <t xml:space="preserve">EMP001</t>
  </si>
  <si>
    <t xml:space="preserve">Raj Verma</t>
  </si>
  <si>
    <t xml:space="preserve">HR</t>
  </si>
  <si>
    <t xml:space="preserve">HR Manager</t>
  </si>
  <si>
    <t xml:space="preserve">Delhi</t>
  </si>
  <si>
    <t xml:space="preserve">Active</t>
  </si>
  <si>
    <t xml:space="preserve">EMP002</t>
  </si>
  <si>
    <t xml:space="preserve">Sunil Mishra</t>
  </si>
  <si>
    <t xml:space="preserve">Finance</t>
  </si>
  <si>
    <t xml:space="preserve">CFO</t>
  </si>
  <si>
    <t xml:space="preserve">EMP003</t>
  </si>
  <si>
    <t xml:space="preserve">Priya Mishra</t>
  </si>
  <si>
    <t xml:space="preserve">Marketing</t>
  </si>
  <si>
    <t xml:space="preserve">CMO</t>
  </si>
  <si>
    <t xml:space="preserve">Pune</t>
  </si>
  <si>
    <t xml:space="preserve">On Leave</t>
  </si>
  <si>
    <t xml:space="preserve">EMP004</t>
  </si>
  <si>
    <t xml:space="preserve">Anjali Yadav</t>
  </si>
  <si>
    <t xml:space="preserve">Hyderabad</t>
  </si>
  <si>
    <t xml:space="preserve">EMP005</t>
  </si>
  <si>
    <t xml:space="preserve">Deepak Iyer</t>
  </si>
  <si>
    <t xml:space="preserve">HR Director</t>
  </si>
  <si>
    <t xml:space="preserve">EMP006</t>
  </si>
  <si>
    <t xml:space="preserve">Nisha Iyer</t>
  </si>
  <si>
    <t xml:space="preserve">Finance Manager</t>
  </si>
  <si>
    <t xml:space="preserve">EMP007</t>
  </si>
  <si>
    <t xml:space="preserve">Meera Singh</t>
  </si>
  <si>
    <t xml:space="preserve">Analyst</t>
  </si>
  <si>
    <t xml:space="preserve">Kolkata</t>
  </si>
  <si>
    <t xml:space="preserve">EMP008</t>
  </si>
  <si>
    <t xml:space="preserve">Ritu Singh</t>
  </si>
  <si>
    <t xml:space="preserve">IT</t>
  </si>
  <si>
    <t xml:space="preserve">Tech Lead</t>
  </si>
  <si>
    <t xml:space="preserve">Chennai</t>
  </si>
  <si>
    <t xml:space="preserve">EMP009</t>
  </si>
  <si>
    <t xml:space="preserve">Manish Pandey</t>
  </si>
  <si>
    <t xml:space="preserve">HR Executive</t>
  </si>
  <si>
    <t xml:space="preserve">EMP010</t>
  </si>
  <si>
    <t xml:space="preserve">Sunil Patel</t>
  </si>
  <si>
    <t xml:space="preserve">EMP011</t>
  </si>
  <si>
    <t xml:space="preserve">Meera Rao</t>
  </si>
  <si>
    <t xml:space="preserve">EMP012</t>
  </si>
  <si>
    <t xml:space="preserve">Vikram Agarwal</t>
  </si>
  <si>
    <t xml:space="preserve">Digital Marketer</t>
  </si>
  <si>
    <t xml:space="preserve">EMP013</t>
  </si>
  <si>
    <t xml:space="preserve">Manish Rao</t>
  </si>
  <si>
    <t xml:space="preserve">Marketing Exec</t>
  </si>
  <si>
    <t xml:space="preserve">EMP014</t>
  </si>
  <si>
    <t xml:space="preserve">Kavita Gupta</t>
  </si>
  <si>
    <t xml:space="preserve">Sales</t>
  </si>
  <si>
    <t xml:space="preserve">VP Sales</t>
  </si>
  <si>
    <t xml:space="preserve">Bangalore</t>
  </si>
  <si>
    <t xml:space="preserve">EMP015</t>
  </si>
  <si>
    <t xml:space="preserve">Sunil Yadav</t>
  </si>
  <si>
    <t xml:space="preserve">EMP016</t>
  </si>
  <si>
    <t xml:space="preserve">Ritu Shah</t>
  </si>
  <si>
    <t xml:space="preserve">EMP017</t>
  </si>
  <si>
    <t xml:space="preserve">Karan Pandey</t>
  </si>
  <si>
    <t xml:space="preserve">Senior Dev</t>
  </si>
  <si>
    <t xml:space="preserve">Resigned</t>
  </si>
  <si>
    <t xml:space="preserve">EMP018</t>
  </si>
  <si>
    <t xml:space="preserve">Kavita Pandey</t>
  </si>
  <si>
    <t xml:space="preserve">Sr. HR Manager</t>
  </si>
  <si>
    <t xml:space="preserve">EMP019</t>
  </si>
  <si>
    <t xml:space="preserve">Nisha Mishra</t>
  </si>
  <si>
    <t xml:space="preserve">EMP020</t>
  </si>
  <si>
    <t xml:space="preserve">Sales Manager</t>
  </si>
  <si>
    <t xml:space="preserve">EMP021</t>
  </si>
  <si>
    <t xml:space="preserve">Ritu Pandey</t>
  </si>
  <si>
    <t xml:space="preserve">EMP022</t>
  </si>
  <si>
    <t xml:space="preserve">Sunil Rao</t>
  </si>
  <si>
    <t xml:space="preserve">Operations</t>
  </si>
  <si>
    <t xml:space="preserve">Operations Manager</t>
  </si>
  <si>
    <t xml:space="preserve">Mumbai</t>
  </si>
  <si>
    <t xml:space="preserve">EMP023</t>
  </si>
  <si>
    <t xml:space="preserve">Vivek Kumar</t>
  </si>
  <si>
    <t xml:space="preserve">EMP024</t>
  </si>
  <si>
    <t xml:space="preserve">Karan Kumar</t>
  </si>
  <si>
    <t xml:space="preserve">Operations Exec</t>
  </si>
  <si>
    <t xml:space="preserve">EMP025</t>
  </si>
  <si>
    <t xml:space="preserve">Vikram Nair</t>
  </si>
  <si>
    <t xml:space="preserve">Marketing Manager</t>
  </si>
  <si>
    <t xml:space="preserve">EMP026</t>
  </si>
  <si>
    <t xml:space="preserve">Simran Kumar</t>
  </si>
  <si>
    <t xml:space="preserve">EMP027</t>
  </si>
  <si>
    <t xml:space="preserve">Simran Verma</t>
  </si>
  <si>
    <t xml:space="preserve">EMP028</t>
  </si>
  <si>
    <t xml:space="preserve">Priya Gupta</t>
  </si>
  <si>
    <t xml:space="preserve">EMP029</t>
  </si>
  <si>
    <t xml:space="preserve">Manish Shah</t>
  </si>
  <si>
    <t xml:space="preserve">EMP030</t>
  </si>
  <si>
    <t xml:space="preserve">Amit Singh</t>
  </si>
  <si>
    <t xml:space="preserve">EMP031</t>
  </si>
  <si>
    <t xml:space="preserve">Manish Mishra</t>
  </si>
  <si>
    <t xml:space="preserve">EMP032</t>
  </si>
  <si>
    <t xml:space="preserve">Divya Yadav</t>
  </si>
  <si>
    <t xml:space="preserve">EMP033</t>
  </si>
  <si>
    <t xml:space="preserve">Amit Agarwal</t>
  </si>
  <si>
    <t xml:space="preserve">IT Manager</t>
  </si>
  <si>
    <t xml:space="preserve">EMP034</t>
  </si>
  <si>
    <t xml:space="preserve">Ramesh Nair</t>
  </si>
  <si>
    <t xml:space="preserve">EMP035</t>
  </si>
  <si>
    <t xml:space="preserve">Sanjay Patel</t>
  </si>
  <si>
    <t xml:space="preserve">EMP036</t>
  </si>
  <si>
    <t xml:space="preserve">Vikram Gupta</t>
  </si>
  <si>
    <t xml:space="preserve">Sales Executive</t>
  </si>
  <si>
    <t xml:space="preserve">EMP037</t>
  </si>
  <si>
    <t xml:space="preserve">Kavita Joshi</t>
  </si>
  <si>
    <t xml:space="preserve">EMP038</t>
  </si>
  <si>
    <t xml:space="preserve">Vikram Pandey</t>
  </si>
  <si>
    <t xml:space="preserve">EMP039</t>
  </si>
  <si>
    <t xml:space="preserve">Anjali Nair</t>
  </si>
  <si>
    <t xml:space="preserve">EMP040</t>
  </si>
  <si>
    <t xml:space="preserve">Raj Pandey</t>
  </si>
  <si>
    <t xml:space="preserve">Team Lead</t>
  </si>
  <si>
    <t xml:space="preserve">EMP041</t>
  </si>
  <si>
    <t xml:space="preserve">Karan Agarwal</t>
  </si>
  <si>
    <t xml:space="preserve">COO</t>
  </si>
  <si>
    <t xml:space="preserve">EMP042</t>
  </si>
  <si>
    <t xml:space="preserve">Amit Tiwari</t>
  </si>
  <si>
    <t xml:space="preserve">EMP043</t>
  </si>
  <si>
    <t xml:space="preserve">Karan Yadav</t>
  </si>
  <si>
    <t xml:space="preserve">EMP044</t>
  </si>
  <si>
    <t xml:space="preserve">Rohit Agarwal</t>
  </si>
  <si>
    <t xml:space="preserve">EMP045</t>
  </si>
  <si>
    <t xml:space="preserve">Ramesh Agarwal</t>
  </si>
  <si>
    <t xml:space="preserve">EMP046</t>
  </si>
  <si>
    <t xml:space="preserve">Meera Mishra</t>
  </si>
  <si>
    <t xml:space="preserve">EMP047</t>
  </si>
  <si>
    <t xml:space="preserve">Vivek Mishra</t>
  </si>
  <si>
    <t xml:space="preserve">Junior Dev</t>
  </si>
  <si>
    <t xml:space="preserve">EMP048</t>
  </si>
  <si>
    <t xml:space="preserve">Nisha Shah</t>
  </si>
  <si>
    <t xml:space="preserve">EMP049</t>
  </si>
  <si>
    <t xml:space="preserve">Ritu Agarwal</t>
  </si>
  <si>
    <t xml:space="preserve">EMP050</t>
  </si>
  <si>
    <t xml:space="preserve">Ananya Kumar</t>
  </si>
  <si>
    <t xml:space="preserve">💰 EMPLOYEE SALARY CALCULATOR — VLOOKUP &amp; HLOOKUP DEMO</t>
  </si>
  <si>
    <t xml:space="preserve">📋 HLOOKUP Reference Table — Allowances by Grade</t>
  </si>
  <si>
    <t xml:space="preserve">A+</t>
  </si>
  <si>
    <t xml:space="preserve">A</t>
  </si>
  <si>
    <t xml:space="preserve">B</t>
  </si>
  <si>
    <t xml:space="preserve">C</t>
  </si>
  <si>
    <t xml:space="preserve">D</t>
  </si>
  <si>
    <t xml:space="preserve">Travel Allow</t>
  </si>
  <si>
    <t xml:space="preserve">Medical Allow</t>
  </si>
  <si>
    <t xml:space="preserve">Bonus %</t>
  </si>
  <si>
    <t xml:space="preserve">🔍 Individual Salary Breakdown Calculator</t>
  </si>
  <si>
    <t xml:space="preserve">Enter Employee ID:</t>
  </si>
  <si>
    <t xml:space="preserve">Employee Name</t>
  </si>
  <si>
    <t xml:space="preserve">Experience</t>
  </si>
  <si>
    <t xml:space="preserve">Bonus Amount</t>
  </si>
  <si>
    <t xml:space="preserve">NET SALARY</t>
  </si>
  <si>
    <t xml:space="preserve">📊 HR ANALYTICS &amp; WORKFORCE INSIGHTS</t>
  </si>
  <si>
    <t xml:space="preserve">Headcount</t>
  </si>
  <si>
    <t xml:space="preserve">Avg Salary</t>
  </si>
  <si>
    <t xml:space="preserve">Avg Rating</t>
  </si>
  <si>
    <t xml:space="preserve">Avg Experience</t>
  </si>
  <si>
    <t xml:space="preserve">TOTAL / AVG</t>
  </si>
  <si>
    <t xml:space="preserve">💻 VBA Macros — Alt+F11 → Insert Module → Paste</t>
  </si>
  <si>
    <t xml:space="preserve">
' ================================================================
' MACRO 1: Color-code Employee Rows by Status
' ================================================================
Sub ColorByStatus()
    Dim ws As Worksheet
    Dim lastRow As Long, i As Long
    Set ws = ThisWorkbook.Sheets("Employee Database")
    lastRow = ws.Cells(ws.Rows.Count, 1).End(xlUp).Row
    For i = 2 To lastRow
        Select Case ws.Cells(i, 11).Value
            Case "Active"
                ws.Rows(i).Interior.Color = RGB(198, 239, 206)  ' Green
            Case "On Leave"
                ws.Rows(i).Interior.Color = RGB(255, 242, 204)  ' Yellow
            Case "Resigned"
                ws.Rows(i).Interior.Color = RGB(255, 199, 206)  ' Red
        End Select
    Next i
    MsgBox "Status color coding applied!", vbInformation
End Sub
' ================================================================
' MACRO 2: Find Employees by Department (InputBox)
' ================================================================
Sub FindByDepartment()
    Dim ws As Worksheet
    Dim dept As String
    Dim lastRow As Long, i As Long
    Dim result As String
    Dim count As Integer
    Set ws = ThisWorkbook.Sheets("Employee Database")
    lastRow = ws.Cells(ws.Rows.Count, 1).End(xlUp).Row
    dept = InputBox("Enter Department Name:", "Search by Department", "IT")
    If dept = "" Then Exit Sub
    result = "Employees in " &amp; dept &amp; ":" &amp; Chr(10)
    count = 0
    For i = 2 To lastRow
        If UCase(ws.Cells(i, 3).Value) = UCase(dept) Then
            result = result &amp; ws.Cells(i, 1) &amp; " - " &amp; ws.Cells(i, 2) &amp; Chr(10)
            count = count + 1
        End If
    Next i
    If count = 0 Then
        MsgBox "No employees found in: " &amp; dept, vbExclamation
    Else
        result = result &amp; Chr(10) &amp; "Total: " &amp; count &amp; " employees"
        MsgBox result, vbInformation, "Search Results"
    End If
End Sub
' ================================================================
' MACRO 3: Calculate Department Salary Budget
' ================================================================
Sub DeptSalaryBudget()
    Dim ws As Worksheet
    Dim dept As String
    Dim lastRow As Long, i As Long
    Dim total As Double
    Set ws = ThisWorkbook.Sheets("Employee Database")
    lastRow = ws.Cells(ws.Rows.Count, 1).End(xlUp).Row
    dept = InputBox("Enter Department for Salary Budget:", "Salary Budget", "Sales")
    If dept = "" Then Exit Sub
    For i = 2 To lastRow
        If UCase(ws.Cells(i, 3).Value) = UCase(dept) And _
           ws.Cells(i, 11).Value = "Active" Then
            total = total + ws.Cells(i, 7).Value  ' Basic Salary
        End If
    Next i
    MsgBox dept &amp; " Department Monthly Salary Budget:" &amp; Chr(10) &amp; _
           "Rs. " &amp; Format(total, "#,##0"), vbInformation, "Salary Budget"
End Sub
' ================================================================
' MACRO 4: Auto-Fill Grade based on Rating
' ================================================================
Sub AutoFillGrades()
    Dim ws As Worksheet
    Dim lastRow As Long, i As Long
    Set ws = ThisWorkbook.Sheets("Employee Database")
    lastRow = ws.Cells(ws.Rows.Count, 1).End(xlUp).Row
    For i = 2 To lastRow
        Dim rating As Integer
        rating = ws.Cells(i, 12).Value
        Select Case rating
            Case 5: ws.Cells(i, 13).Value = "A+"
            Case 4: ws.Cells(i, 13).Value = "A"
            Case 3: ws.Cells(i, 13).Value = "B"
            Case 2: ws.Cells(i, 13).Value = "C"
            Case 1: ws.Cells(i, 13).Value = "D"
        End Select
    Next i
    MsgBox "Grades updated for all " &amp; (lastRow - 1) &amp; " employees!", vbInformation
End Sub
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</si>
</sst>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\₹#,##0"/>
    <numFmt numFmtId="167" formatCode="0.0"/>
    <numFmt numFmtId="168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FFFFFF"/>
      <name val="Calibri"/>
      <family val="0"/>
      <charset val="1"/>
    </font>
    <font>
      <sz val="9"/>
      <name val="Courier New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FF2CC"/>
        <bgColor rgb="FFF2F2F2"/>
      </patternFill>
    </fill>
    <fill>
      <patternFill patternType="solid">
        <fgColor rgb="FFFFCCCC"/>
        <bgColor rgb="FFD9D9D9"/>
      </patternFill>
    </fill>
    <fill>
      <patternFill patternType="solid">
        <fgColor rgb="FF2E75B6"/>
        <bgColor rgb="FF4F81BD"/>
      </patternFill>
    </fill>
    <fill>
      <patternFill patternType="solid">
        <fgColor rgb="FFBDD7EE"/>
        <bgColor rgb="FFD9D9D9"/>
      </patternFill>
    </fill>
    <fill>
      <patternFill patternType="solid">
        <fgColor rgb="FFED7D31"/>
        <bgColor rgb="FFFF8080"/>
      </patternFill>
    </fill>
    <fill>
      <patternFill patternType="solid">
        <fgColor rgb="FFFFD700"/>
        <bgColor rgb="FFFFFF00"/>
      </patternFill>
    </fill>
    <fill>
      <patternFill patternType="solid">
        <fgColor rgb="FF375623"/>
        <bgColor rgb="FF333300"/>
      </patternFill>
    </fill>
    <fill>
      <patternFill patternType="solid">
        <fgColor rgb="FF7030A0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6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9D9D9"/>
      <rgbColor rgb="FFFFFF99"/>
      <rgbColor rgb="FF99CCFF"/>
      <rgbColor rgb="FFFF99CC"/>
      <rgbColor rgb="FFCC99FF"/>
      <rgbColor rgb="FFFFCCCC"/>
      <rgbColor rgb="FF2E75B6"/>
      <rgbColor rgb="FF33CCCC"/>
      <rgbColor rgb="FF99CC00"/>
      <rgbColor rgb="FFFFD700"/>
      <rgbColor rgb="FFFF9900"/>
      <rgbColor rgb="FFED7D31"/>
      <rgbColor rgb="FF4F81BD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Headcount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'HR Analytics'!B3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'HR Analytics'!$A$4:$A$9</c:f>
              <c:strCache>
                <c:ptCount val="6"/>
                <c:pt idx="0">
                  <c:v>IT</c:v>
                </c:pt>
                <c:pt idx="1">
                  <c:v>Sales</c:v>
                </c:pt>
                <c:pt idx="2">
                  <c:v>HR</c:v>
                </c:pt>
                <c:pt idx="3">
                  <c:v>Finance</c:v>
                </c:pt>
                <c:pt idx="4">
                  <c:v>Marketing</c:v>
                </c:pt>
                <c:pt idx="5">
                  <c:v>Operations</c:v>
                </c:pt>
              </c:strCache>
            </c:strRef>
          </c:cat>
          <c:val>
            <c:numRef>
              <c:f>'HR Analytics'!$B$4:$B$9</c:f>
              <c:numCache>
                <c:formatCode>General</c:formatCode>
                <c:ptCount val="6"/>
                <c:pt idx="0">
                  <c:v>5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12</c:v>
                </c:pt>
                <c:pt idx="5">
                  <c:v>6</c:v>
                </c:pt>
              </c:numCache>
            </c:numRef>
          </c:val>
        </c:ser>
        <c:gapWidth val="150"/>
        <c:overlap val="0"/>
        <c:axId val="17597540"/>
        <c:axId val="61613342"/>
      </c:barChart>
      <c:catAx>
        <c:axId val="175975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13342"/>
        <c:crosses val="autoZero"/>
        <c:auto val="1"/>
        <c:lblAlgn val="ctr"/>
        <c:lblOffset val="100"/>
        <c:noMultiLvlLbl val="0"/>
      </c:catAx>
      <c:valAx>
        <c:axId val="616133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975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16</xdr:col>
      <xdr:colOff>256320</xdr:colOff>
      <xdr:row>20</xdr:row>
      <xdr:rowOff>170640</xdr:rowOff>
    </xdr:to>
    <xdr:graphicFrame>
      <xdr:nvGraphicFramePr>
        <xdr:cNvPr id="0" name="Chart 1"/>
        <xdr:cNvGraphicFramePr/>
      </xdr:nvGraphicFramePr>
      <xdr:xfrm>
        <a:off x="6673320" y="57168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N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3" min="13" style="0" width="8"/>
    <col collapsed="false" customWidth="true" hidden="false" outlineLevel="0" max="14" min="14" style="0" width="16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3" t="n">
        <v>42617</v>
      </c>
      <c r="G2" s="4" t="n">
        <v>64096</v>
      </c>
      <c r="H2" s="4" t="n">
        <f aca="false">G2*0.4</f>
        <v>25638.4</v>
      </c>
      <c r="I2" s="4" t="n">
        <f aca="false">G2*0.12</f>
        <v>7691.52</v>
      </c>
      <c r="J2" s="4" t="n">
        <f aca="false">G2+H2</f>
        <v>89734.4</v>
      </c>
      <c r="K2" s="2" t="s">
        <v>19</v>
      </c>
      <c r="L2" s="5" t="n">
        <v>1</v>
      </c>
      <c r="M2" s="2" t="str">
        <f aca="false">IF(L2=5,"A+",IF(L2=4,"A",IF(L2=3,"B",IF(L2=2,"C","D"))))</f>
        <v>D</v>
      </c>
      <c r="N2" s="2" t="n">
        <f aca="true">DATEDIF(F2,TODAY(),"Y")</f>
        <v>9</v>
      </c>
    </row>
    <row r="3" customFormat="false" ht="15" hidden="false" customHeight="false" outlineLevel="0" collapsed="false">
      <c r="A3" s="6" t="s">
        <v>20</v>
      </c>
      <c r="B3" s="6" t="s">
        <v>21</v>
      </c>
      <c r="C3" s="6" t="s">
        <v>22</v>
      </c>
      <c r="D3" s="6" t="s">
        <v>23</v>
      </c>
      <c r="E3" s="6" t="s">
        <v>18</v>
      </c>
      <c r="F3" s="7" t="n">
        <v>42627</v>
      </c>
      <c r="G3" s="8" t="n">
        <v>136226</v>
      </c>
      <c r="H3" s="8" t="n">
        <f aca="false">G3*0.4</f>
        <v>54490.4</v>
      </c>
      <c r="I3" s="8" t="n">
        <f aca="false">G3*0.12</f>
        <v>16347.12</v>
      </c>
      <c r="J3" s="8" t="n">
        <f aca="false">G3+H3</f>
        <v>190716.4</v>
      </c>
      <c r="K3" s="6" t="s">
        <v>19</v>
      </c>
      <c r="L3" s="9" t="n">
        <v>5</v>
      </c>
      <c r="M3" s="6" t="str">
        <f aca="false">IF(L3=5,"A+",IF(L3=4,"A",IF(L3=3,"B",IF(L3=2,"C","D"))))</f>
        <v>A+</v>
      </c>
      <c r="N3" s="6" t="n">
        <f aca="true">DATEDIF(F3,TODAY(),"Y")</f>
        <v>9</v>
      </c>
    </row>
    <row r="4" customFormat="false" ht="15" hidden="false" customHeight="false" outlineLevel="0" collapsed="false">
      <c r="A4" s="10" t="s">
        <v>24</v>
      </c>
      <c r="B4" s="10" t="s">
        <v>25</v>
      </c>
      <c r="C4" s="10" t="s">
        <v>26</v>
      </c>
      <c r="D4" s="10" t="s">
        <v>27</v>
      </c>
      <c r="E4" s="10" t="s">
        <v>28</v>
      </c>
      <c r="F4" s="11" t="n">
        <v>42275</v>
      </c>
      <c r="G4" s="12" t="n">
        <v>138907</v>
      </c>
      <c r="H4" s="12" t="n">
        <f aca="false">G4*0.4</f>
        <v>55562.8</v>
      </c>
      <c r="I4" s="12" t="n">
        <f aca="false">G4*0.12</f>
        <v>16668.84</v>
      </c>
      <c r="J4" s="12" t="n">
        <f aca="false">G4+H4</f>
        <v>194469.8</v>
      </c>
      <c r="K4" s="10" t="s">
        <v>29</v>
      </c>
      <c r="L4" s="13" t="n">
        <v>1</v>
      </c>
      <c r="M4" s="10" t="str">
        <f aca="false">IF(L4=5,"A+",IF(L4=4,"A",IF(L4=3,"B",IF(L4=2,"C","D"))))</f>
        <v>D</v>
      </c>
      <c r="N4" s="10" t="n">
        <f aca="true">DATEDIF(F4,TODAY(),"Y")</f>
        <v>10</v>
      </c>
    </row>
    <row r="5" customFormat="false" ht="15" hidden="false" customHeight="false" outlineLevel="0" collapsed="false">
      <c r="A5" s="6" t="s">
        <v>30</v>
      </c>
      <c r="B5" s="6" t="s">
        <v>31</v>
      </c>
      <c r="C5" s="6" t="s">
        <v>16</v>
      </c>
      <c r="D5" s="6" t="s">
        <v>17</v>
      </c>
      <c r="E5" s="6" t="s">
        <v>32</v>
      </c>
      <c r="F5" s="7" t="n">
        <v>43879</v>
      </c>
      <c r="G5" s="8" t="n">
        <v>63493</v>
      </c>
      <c r="H5" s="8" t="n">
        <f aca="false">G5*0.4</f>
        <v>25397.2</v>
      </c>
      <c r="I5" s="8" t="n">
        <f aca="false">G5*0.12</f>
        <v>7619.16</v>
      </c>
      <c r="J5" s="8" t="n">
        <f aca="false">G5+H5</f>
        <v>88890.2</v>
      </c>
      <c r="K5" s="6" t="s">
        <v>19</v>
      </c>
      <c r="L5" s="9" t="n">
        <v>5</v>
      </c>
      <c r="M5" s="6" t="str">
        <f aca="false">IF(L5=5,"A+",IF(L5=4,"A",IF(L5=3,"B",IF(L5=2,"C","D"))))</f>
        <v>A+</v>
      </c>
      <c r="N5" s="6" t="n">
        <f aca="true">DATEDIF(F5,TODAY(),"Y")</f>
        <v>6</v>
      </c>
    </row>
    <row r="6" customFormat="false" ht="15" hidden="false" customHeight="false" outlineLevel="0" collapsed="false">
      <c r="A6" s="10" t="s">
        <v>33</v>
      </c>
      <c r="B6" s="10" t="s">
        <v>34</v>
      </c>
      <c r="C6" s="10" t="s">
        <v>16</v>
      </c>
      <c r="D6" s="10" t="s">
        <v>35</v>
      </c>
      <c r="E6" s="10" t="s">
        <v>28</v>
      </c>
      <c r="F6" s="11" t="n">
        <v>43959</v>
      </c>
      <c r="G6" s="12" t="n">
        <v>130728</v>
      </c>
      <c r="H6" s="12" t="n">
        <f aca="false">G6*0.4</f>
        <v>52291.2</v>
      </c>
      <c r="I6" s="12" t="n">
        <f aca="false">G6*0.12</f>
        <v>15687.36</v>
      </c>
      <c r="J6" s="12" t="n">
        <f aca="false">G6+H6</f>
        <v>183019.2</v>
      </c>
      <c r="K6" s="10" t="s">
        <v>29</v>
      </c>
      <c r="L6" s="13" t="n">
        <v>3</v>
      </c>
      <c r="M6" s="10" t="str">
        <f aca="false">IF(L6=5,"A+",IF(L6=4,"A",IF(L6=3,"B",IF(L6=2,"C","D"))))</f>
        <v>B</v>
      </c>
      <c r="N6" s="10" t="n">
        <f aca="true">DATEDIF(F6,TODAY(),"Y")</f>
        <v>6</v>
      </c>
    </row>
    <row r="7" customFormat="false" ht="15" hidden="false" customHeight="false" outlineLevel="0" collapsed="false">
      <c r="A7" s="6" t="s">
        <v>36</v>
      </c>
      <c r="B7" s="6" t="s">
        <v>37</v>
      </c>
      <c r="C7" s="6" t="s">
        <v>22</v>
      </c>
      <c r="D7" s="6" t="s">
        <v>38</v>
      </c>
      <c r="E7" s="6" t="s">
        <v>32</v>
      </c>
      <c r="F7" s="7" t="n">
        <v>43741</v>
      </c>
      <c r="G7" s="8" t="n">
        <v>102402</v>
      </c>
      <c r="H7" s="8" t="n">
        <f aca="false">G7*0.4</f>
        <v>40960.8</v>
      </c>
      <c r="I7" s="8" t="n">
        <f aca="false">G7*0.12</f>
        <v>12288.24</v>
      </c>
      <c r="J7" s="8" t="n">
        <f aca="false">G7+H7</f>
        <v>143362.8</v>
      </c>
      <c r="K7" s="6" t="s">
        <v>19</v>
      </c>
      <c r="L7" s="9" t="n">
        <v>2</v>
      </c>
      <c r="M7" s="6" t="str">
        <f aca="false">IF(L7=5,"A+",IF(L7=4,"A",IF(L7=3,"B",IF(L7=2,"C","D"))))</f>
        <v>C</v>
      </c>
      <c r="N7" s="6" t="n">
        <f aca="true">DATEDIF(F7,TODAY(),"Y")</f>
        <v>6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22</v>
      </c>
      <c r="D8" s="2" t="s">
        <v>41</v>
      </c>
      <c r="E8" s="2" t="s">
        <v>42</v>
      </c>
      <c r="F8" s="3" t="n">
        <v>44005</v>
      </c>
      <c r="G8" s="4" t="n">
        <v>36474</v>
      </c>
      <c r="H8" s="4" t="n">
        <f aca="false">G8*0.4</f>
        <v>14589.6</v>
      </c>
      <c r="I8" s="4" t="n">
        <f aca="false">G8*0.12</f>
        <v>4376.88</v>
      </c>
      <c r="J8" s="4" t="n">
        <f aca="false">G8+H8</f>
        <v>51063.6</v>
      </c>
      <c r="K8" s="2" t="s">
        <v>19</v>
      </c>
      <c r="L8" s="5" t="n">
        <v>1</v>
      </c>
      <c r="M8" s="2" t="str">
        <f aca="false">IF(L8=5,"A+",IF(L8=4,"A",IF(L8=3,"B",IF(L8=2,"C","D"))))</f>
        <v>D</v>
      </c>
      <c r="N8" s="2" t="n">
        <f aca="true">DATEDIF(F8,TODAY(),"Y")</f>
        <v>5</v>
      </c>
    </row>
    <row r="9" customFormat="false" ht="15" hidden="false" customHeight="false" outlineLevel="0" collapsed="false">
      <c r="A9" s="6" t="s">
        <v>43</v>
      </c>
      <c r="B9" s="6" t="s">
        <v>44</v>
      </c>
      <c r="C9" s="6" t="s">
        <v>45</v>
      </c>
      <c r="D9" s="6" t="s">
        <v>46</v>
      </c>
      <c r="E9" s="6" t="s">
        <v>47</v>
      </c>
      <c r="F9" s="7" t="n">
        <v>42361</v>
      </c>
      <c r="G9" s="8" t="n">
        <v>112876</v>
      </c>
      <c r="H9" s="8" t="n">
        <f aca="false">G9*0.4</f>
        <v>45150.4</v>
      </c>
      <c r="I9" s="8" t="n">
        <f aca="false">G9*0.12</f>
        <v>13545.12</v>
      </c>
      <c r="J9" s="8" t="n">
        <f aca="false">G9+H9</f>
        <v>158026.4</v>
      </c>
      <c r="K9" s="6" t="s">
        <v>19</v>
      </c>
      <c r="L9" s="9" t="n">
        <v>4</v>
      </c>
      <c r="M9" s="6" t="str">
        <f aca="false">IF(L9=5,"A+",IF(L9=4,"A",IF(L9=3,"B",IF(L9=2,"C","D"))))</f>
        <v>A</v>
      </c>
      <c r="N9" s="6" t="n">
        <f aca="true">DATEDIF(F9,TODAY(),"Y")</f>
        <v>10</v>
      </c>
    </row>
    <row r="10" customFormat="false" ht="15" hidden="false" customHeight="false" outlineLevel="0" collapsed="false">
      <c r="A10" s="2" t="s">
        <v>48</v>
      </c>
      <c r="B10" s="2" t="s">
        <v>49</v>
      </c>
      <c r="C10" s="2" t="s">
        <v>16</v>
      </c>
      <c r="D10" s="2" t="s">
        <v>50</v>
      </c>
      <c r="E10" s="2" t="s">
        <v>32</v>
      </c>
      <c r="F10" s="3" t="n">
        <v>43012</v>
      </c>
      <c r="G10" s="4" t="n">
        <v>41177</v>
      </c>
      <c r="H10" s="4" t="n">
        <f aca="false">G10*0.4</f>
        <v>16470.8</v>
      </c>
      <c r="I10" s="4" t="n">
        <f aca="false">G10*0.12</f>
        <v>4941.24</v>
      </c>
      <c r="J10" s="4" t="n">
        <f aca="false">G10+H10</f>
        <v>57647.8</v>
      </c>
      <c r="K10" s="2" t="s">
        <v>19</v>
      </c>
      <c r="L10" s="5" t="n">
        <v>2</v>
      </c>
      <c r="M10" s="2" t="str">
        <f aca="false">IF(L10=5,"A+",IF(L10=4,"A",IF(L10=3,"B",IF(L10=2,"C","D"))))</f>
        <v>C</v>
      </c>
      <c r="N10" s="2" t="n">
        <f aca="true">DATEDIF(F10,TODAY(),"Y")</f>
        <v>8</v>
      </c>
    </row>
    <row r="11" customFormat="false" ht="15" hidden="false" customHeight="false" outlineLevel="0" collapsed="false">
      <c r="A11" s="10" t="s">
        <v>51</v>
      </c>
      <c r="B11" s="10" t="s">
        <v>52</v>
      </c>
      <c r="C11" s="10" t="s">
        <v>22</v>
      </c>
      <c r="D11" s="10" t="s">
        <v>23</v>
      </c>
      <c r="E11" s="10" t="s">
        <v>47</v>
      </c>
      <c r="F11" s="11" t="n">
        <v>44760</v>
      </c>
      <c r="G11" s="12" t="n">
        <v>176429</v>
      </c>
      <c r="H11" s="12" t="n">
        <f aca="false">G11*0.4</f>
        <v>70571.6</v>
      </c>
      <c r="I11" s="12" t="n">
        <f aca="false">G11*0.12</f>
        <v>21171.48</v>
      </c>
      <c r="J11" s="12" t="n">
        <f aca="false">G11+H11</f>
        <v>247000.6</v>
      </c>
      <c r="K11" s="10" t="s">
        <v>29</v>
      </c>
      <c r="L11" s="13" t="n">
        <v>3</v>
      </c>
      <c r="M11" s="10" t="str">
        <f aca="false">IF(L11=5,"A+",IF(L11=4,"A",IF(L11=3,"B",IF(L11=2,"C","D"))))</f>
        <v>B</v>
      </c>
      <c r="N11" s="10" t="n">
        <f aca="true">DATEDIF(F11,TODAY(),"Y")</f>
        <v>3</v>
      </c>
    </row>
    <row r="12" customFormat="false" ht="15" hidden="false" customHeight="false" outlineLevel="0" collapsed="false">
      <c r="A12" s="2" t="s">
        <v>53</v>
      </c>
      <c r="B12" s="2" t="s">
        <v>54</v>
      </c>
      <c r="C12" s="2" t="s">
        <v>22</v>
      </c>
      <c r="D12" s="2" t="s">
        <v>38</v>
      </c>
      <c r="E12" s="2" t="s">
        <v>42</v>
      </c>
      <c r="F12" s="3" t="n">
        <v>43162</v>
      </c>
      <c r="G12" s="4" t="n">
        <v>90201</v>
      </c>
      <c r="H12" s="4" t="n">
        <f aca="false">G12*0.4</f>
        <v>36080.4</v>
      </c>
      <c r="I12" s="4" t="n">
        <f aca="false">G12*0.12</f>
        <v>10824.12</v>
      </c>
      <c r="J12" s="4" t="n">
        <f aca="false">G12+H12</f>
        <v>126281.4</v>
      </c>
      <c r="K12" s="2" t="s">
        <v>19</v>
      </c>
      <c r="L12" s="5" t="n">
        <v>4</v>
      </c>
      <c r="M12" s="2" t="str">
        <f aca="false">IF(L12=5,"A+",IF(L12=4,"A",IF(L12=3,"B",IF(L12=2,"C","D"))))</f>
        <v>A</v>
      </c>
      <c r="N12" s="2" t="n">
        <f aca="true">DATEDIF(F12,TODAY(),"Y")</f>
        <v>8</v>
      </c>
    </row>
    <row r="13" customFormat="false" ht="15" hidden="false" customHeight="false" outlineLevel="0" collapsed="false">
      <c r="A13" s="6" t="s">
        <v>55</v>
      </c>
      <c r="B13" s="6" t="s">
        <v>56</v>
      </c>
      <c r="C13" s="6" t="s">
        <v>26</v>
      </c>
      <c r="D13" s="6" t="s">
        <v>57</v>
      </c>
      <c r="E13" s="6" t="s">
        <v>47</v>
      </c>
      <c r="F13" s="7" t="n">
        <v>42077</v>
      </c>
      <c r="G13" s="8" t="n">
        <v>57099</v>
      </c>
      <c r="H13" s="8" t="n">
        <f aca="false">G13*0.4</f>
        <v>22839.6</v>
      </c>
      <c r="I13" s="8" t="n">
        <f aca="false">G13*0.12</f>
        <v>6851.88</v>
      </c>
      <c r="J13" s="8" t="n">
        <f aca="false">G13+H13</f>
        <v>79938.6</v>
      </c>
      <c r="K13" s="6" t="s">
        <v>19</v>
      </c>
      <c r="L13" s="9" t="n">
        <v>2</v>
      </c>
      <c r="M13" s="6" t="str">
        <f aca="false">IF(L13=5,"A+",IF(L13=4,"A",IF(L13=3,"B",IF(L13=2,"C","D"))))</f>
        <v>C</v>
      </c>
      <c r="N13" s="6" t="n">
        <f aca="true">DATEDIF(F13,TODAY(),"Y")</f>
        <v>11</v>
      </c>
    </row>
    <row r="14" customFormat="false" ht="15" hidden="false" customHeight="false" outlineLevel="0" collapsed="false">
      <c r="A14" s="2" t="s">
        <v>58</v>
      </c>
      <c r="B14" s="2" t="s">
        <v>59</v>
      </c>
      <c r="C14" s="2" t="s">
        <v>26</v>
      </c>
      <c r="D14" s="2" t="s">
        <v>60</v>
      </c>
      <c r="E14" s="2" t="s">
        <v>18</v>
      </c>
      <c r="F14" s="3" t="n">
        <v>44390</v>
      </c>
      <c r="G14" s="4" t="n">
        <v>28392</v>
      </c>
      <c r="H14" s="4" t="n">
        <f aca="false">G14*0.4</f>
        <v>11356.8</v>
      </c>
      <c r="I14" s="4" t="n">
        <f aca="false">G14*0.12</f>
        <v>3407.04</v>
      </c>
      <c r="J14" s="4" t="n">
        <f aca="false">G14+H14</f>
        <v>39748.8</v>
      </c>
      <c r="K14" s="2" t="s">
        <v>19</v>
      </c>
      <c r="L14" s="5" t="n">
        <v>2</v>
      </c>
      <c r="M14" s="2" t="str">
        <f aca="false">IF(L14=5,"A+",IF(L14=4,"A",IF(L14=3,"B",IF(L14=2,"C","D"))))</f>
        <v>C</v>
      </c>
      <c r="N14" s="2" t="n">
        <f aca="true">DATEDIF(F14,TODAY(),"Y")</f>
        <v>4</v>
      </c>
    </row>
    <row r="15" customFormat="false" ht="15" hidden="false" customHeight="false" outlineLevel="0" collapsed="false">
      <c r="A15" s="10" t="s">
        <v>61</v>
      </c>
      <c r="B15" s="10" t="s">
        <v>62</v>
      </c>
      <c r="C15" s="10" t="s">
        <v>63</v>
      </c>
      <c r="D15" s="10" t="s">
        <v>64</v>
      </c>
      <c r="E15" s="10" t="s">
        <v>65</v>
      </c>
      <c r="F15" s="11" t="n">
        <v>44106</v>
      </c>
      <c r="G15" s="12" t="n">
        <v>139826</v>
      </c>
      <c r="H15" s="12" t="n">
        <f aca="false">G15*0.4</f>
        <v>55930.4</v>
      </c>
      <c r="I15" s="12" t="n">
        <f aca="false">G15*0.12</f>
        <v>16779.12</v>
      </c>
      <c r="J15" s="12" t="n">
        <f aca="false">G15+H15</f>
        <v>195756.4</v>
      </c>
      <c r="K15" s="10" t="s">
        <v>29</v>
      </c>
      <c r="L15" s="13" t="n">
        <v>1</v>
      </c>
      <c r="M15" s="10" t="str">
        <f aca="false">IF(L15=5,"A+",IF(L15=4,"A",IF(L15=3,"B",IF(L15=2,"C","D"))))</f>
        <v>D</v>
      </c>
      <c r="N15" s="10" t="n">
        <f aca="true">DATEDIF(F15,TODAY(),"Y")</f>
        <v>5</v>
      </c>
    </row>
    <row r="16" customFormat="false" ht="15" hidden="false" customHeight="false" outlineLevel="0" collapsed="false">
      <c r="A16" s="2" t="s">
        <v>66</v>
      </c>
      <c r="B16" s="2" t="s">
        <v>67</v>
      </c>
      <c r="C16" s="2" t="s">
        <v>26</v>
      </c>
      <c r="D16" s="2" t="s">
        <v>60</v>
      </c>
      <c r="E16" s="2" t="s">
        <v>18</v>
      </c>
      <c r="F16" s="3" t="n">
        <v>44276</v>
      </c>
      <c r="G16" s="4" t="n">
        <v>33265</v>
      </c>
      <c r="H16" s="4" t="n">
        <f aca="false">G16*0.4</f>
        <v>13306</v>
      </c>
      <c r="I16" s="4" t="n">
        <f aca="false">G16*0.12</f>
        <v>3991.8</v>
      </c>
      <c r="J16" s="4" t="n">
        <f aca="false">G16+H16</f>
        <v>46571</v>
      </c>
      <c r="K16" s="2" t="s">
        <v>19</v>
      </c>
      <c r="L16" s="5" t="n">
        <v>1</v>
      </c>
      <c r="M16" s="2" t="str">
        <f aca="false">IF(L16=5,"A+",IF(L16=4,"A",IF(L16=3,"B",IF(L16=2,"C","D"))))</f>
        <v>D</v>
      </c>
      <c r="N16" s="2" t="n">
        <f aca="true">DATEDIF(F16,TODAY(),"Y")</f>
        <v>5</v>
      </c>
    </row>
    <row r="17" customFormat="false" ht="15" hidden="false" customHeight="false" outlineLevel="0" collapsed="false">
      <c r="A17" s="6" t="s">
        <v>68</v>
      </c>
      <c r="B17" s="6" t="s">
        <v>69</v>
      </c>
      <c r="C17" s="6" t="s">
        <v>22</v>
      </c>
      <c r="D17" s="6" t="s">
        <v>23</v>
      </c>
      <c r="E17" s="6" t="s">
        <v>28</v>
      </c>
      <c r="F17" s="7" t="n">
        <v>43501</v>
      </c>
      <c r="G17" s="8" t="n">
        <v>154702</v>
      </c>
      <c r="H17" s="8" t="n">
        <f aca="false">G17*0.4</f>
        <v>61880.8</v>
      </c>
      <c r="I17" s="8" t="n">
        <f aca="false">G17*0.12</f>
        <v>18564.24</v>
      </c>
      <c r="J17" s="8" t="n">
        <f aca="false">G17+H17</f>
        <v>216582.8</v>
      </c>
      <c r="K17" s="6" t="s">
        <v>19</v>
      </c>
      <c r="L17" s="9" t="n">
        <v>2</v>
      </c>
      <c r="M17" s="6" t="str">
        <f aca="false">IF(L17=5,"A+",IF(L17=4,"A",IF(L17=3,"B",IF(L17=2,"C","D"))))</f>
        <v>C</v>
      </c>
      <c r="N17" s="6" t="n">
        <f aca="true">DATEDIF(F17,TODAY(),"Y")</f>
        <v>7</v>
      </c>
    </row>
    <row r="18" customFormat="false" ht="15" hidden="false" customHeight="false" outlineLevel="0" collapsed="false">
      <c r="A18" s="14" t="s">
        <v>70</v>
      </c>
      <c r="B18" s="14" t="s">
        <v>71</v>
      </c>
      <c r="C18" s="14" t="s">
        <v>45</v>
      </c>
      <c r="D18" s="14" t="s">
        <v>72</v>
      </c>
      <c r="E18" s="14" t="s">
        <v>47</v>
      </c>
      <c r="F18" s="15" t="n">
        <v>43087</v>
      </c>
      <c r="G18" s="16" t="n">
        <v>69842</v>
      </c>
      <c r="H18" s="16" t="n">
        <f aca="false">G18*0.4</f>
        <v>27936.8</v>
      </c>
      <c r="I18" s="16" t="n">
        <f aca="false">G18*0.12</f>
        <v>8381.04</v>
      </c>
      <c r="J18" s="16" t="n">
        <f aca="false">G18+H18</f>
        <v>97778.8</v>
      </c>
      <c r="K18" s="14" t="s">
        <v>73</v>
      </c>
      <c r="L18" s="17" t="n">
        <v>1</v>
      </c>
      <c r="M18" s="14" t="str">
        <f aca="false">IF(L18=5,"A+",IF(L18=4,"A",IF(L18=3,"B",IF(L18=2,"C","D"))))</f>
        <v>D</v>
      </c>
      <c r="N18" s="14" t="n">
        <f aca="true">DATEDIF(F18,TODAY(),"Y")</f>
        <v>8</v>
      </c>
    </row>
    <row r="19" customFormat="false" ht="15" hidden="false" customHeight="false" outlineLevel="0" collapsed="false">
      <c r="A19" s="10" t="s">
        <v>74</v>
      </c>
      <c r="B19" s="10" t="s">
        <v>75</v>
      </c>
      <c r="C19" s="10" t="s">
        <v>16</v>
      </c>
      <c r="D19" s="10" t="s">
        <v>76</v>
      </c>
      <c r="E19" s="10" t="s">
        <v>42</v>
      </c>
      <c r="F19" s="11" t="n">
        <v>43361</v>
      </c>
      <c r="G19" s="12" t="n">
        <v>116709</v>
      </c>
      <c r="H19" s="12" t="n">
        <f aca="false">G19*0.4</f>
        <v>46683.6</v>
      </c>
      <c r="I19" s="12" t="n">
        <f aca="false">G19*0.12</f>
        <v>14005.08</v>
      </c>
      <c r="J19" s="12" t="n">
        <f aca="false">G19+H19</f>
        <v>163392.6</v>
      </c>
      <c r="K19" s="10" t="s">
        <v>29</v>
      </c>
      <c r="L19" s="13" t="n">
        <v>2</v>
      </c>
      <c r="M19" s="10" t="str">
        <f aca="false">IF(L19=5,"A+",IF(L19=4,"A",IF(L19=3,"B",IF(L19=2,"C","D"))))</f>
        <v>C</v>
      </c>
      <c r="N19" s="10" t="n">
        <f aca="true">DATEDIF(F19,TODAY(),"Y")</f>
        <v>7</v>
      </c>
    </row>
    <row r="20" customFormat="false" ht="15" hidden="false" customHeight="false" outlineLevel="0" collapsed="false">
      <c r="A20" s="2" t="s">
        <v>77</v>
      </c>
      <c r="B20" s="2" t="s">
        <v>78</v>
      </c>
      <c r="C20" s="2" t="s">
        <v>63</v>
      </c>
      <c r="D20" s="2" t="s">
        <v>64</v>
      </c>
      <c r="E20" s="2" t="s">
        <v>65</v>
      </c>
      <c r="F20" s="3" t="n">
        <v>43359</v>
      </c>
      <c r="G20" s="4" t="n">
        <v>123661</v>
      </c>
      <c r="H20" s="4" t="n">
        <f aca="false">G20*0.4</f>
        <v>49464.4</v>
      </c>
      <c r="I20" s="4" t="n">
        <f aca="false">G20*0.12</f>
        <v>14839.32</v>
      </c>
      <c r="J20" s="4" t="n">
        <f aca="false">G20+H20</f>
        <v>173125.4</v>
      </c>
      <c r="K20" s="2" t="s">
        <v>19</v>
      </c>
      <c r="L20" s="5" t="n">
        <v>4</v>
      </c>
      <c r="M20" s="2" t="str">
        <f aca="false">IF(L20=5,"A+",IF(L20=4,"A",IF(L20=3,"B",IF(L20=2,"C","D"))))</f>
        <v>A</v>
      </c>
      <c r="N20" s="2" t="n">
        <f aca="true">DATEDIF(F20,TODAY(),"Y")</f>
        <v>7</v>
      </c>
    </row>
    <row r="21" customFormat="false" ht="15" hidden="false" customHeight="false" outlineLevel="0" collapsed="false">
      <c r="A21" s="6" t="s">
        <v>79</v>
      </c>
      <c r="B21" s="6" t="s">
        <v>49</v>
      </c>
      <c r="C21" s="6" t="s">
        <v>63</v>
      </c>
      <c r="D21" s="6" t="s">
        <v>80</v>
      </c>
      <c r="E21" s="6" t="s">
        <v>32</v>
      </c>
      <c r="F21" s="7" t="n">
        <v>43869</v>
      </c>
      <c r="G21" s="8" t="n">
        <v>105807</v>
      </c>
      <c r="H21" s="8" t="n">
        <f aca="false">G21*0.4</f>
        <v>42322.8</v>
      </c>
      <c r="I21" s="8" t="n">
        <f aca="false">G21*0.12</f>
        <v>12696.84</v>
      </c>
      <c r="J21" s="8" t="n">
        <f aca="false">G21+H21</f>
        <v>148129.8</v>
      </c>
      <c r="K21" s="6" t="s">
        <v>19</v>
      </c>
      <c r="L21" s="9" t="n">
        <v>2</v>
      </c>
      <c r="M21" s="6" t="str">
        <f aca="false">IF(L21=5,"A+",IF(L21=4,"A",IF(L21=3,"B",IF(L21=2,"C","D"))))</f>
        <v>C</v>
      </c>
      <c r="N21" s="6" t="n">
        <f aca="true">DATEDIF(F21,TODAY(),"Y")</f>
        <v>6</v>
      </c>
    </row>
    <row r="22" customFormat="false" ht="15" hidden="false" customHeight="false" outlineLevel="0" collapsed="false">
      <c r="A22" s="2" t="s">
        <v>81</v>
      </c>
      <c r="B22" s="2" t="s">
        <v>82</v>
      </c>
      <c r="C22" s="2" t="s">
        <v>26</v>
      </c>
      <c r="D22" s="2" t="s">
        <v>60</v>
      </c>
      <c r="E22" s="2" t="s">
        <v>42</v>
      </c>
      <c r="F22" s="3" t="n">
        <v>42678</v>
      </c>
      <c r="G22" s="4" t="n">
        <v>37731</v>
      </c>
      <c r="H22" s="4" t="n">
        <f aca="false">G22*0.4</f>
        <v>15092.4</v>
      </c>
      <c r="I22" s="4" t="n">
        <f aca="false">G22*0.12</f>
        <v>4527.72</v>
      </c>
      <c r="J22" s="4" t="n">
        <f aca="false">G22+H22</f>
        <v>52823.4</v>
      </c>
      <c r="K22" s="2" t="s">
        <v>19</v>
      </c>
      <c r="L22" s="5" t="n">
        <v>4</v>
      </c>
      <c r="M22" s="2" t="str">
        <f aca="false">IF(L22=5,"A+",IF(L22=4,"A",IF(L22=3,"B",IF(L22=2,"C","D"))))</f>
        <v>A</v>
      </c>
      <c r="N22" s="2" t="n">
        <f aca="true">DATEDIF(F22,TODAY(),"Y")</f>
        <v>9</v>
      </c>
    </row>
    <row r="23" customFormat="false" ht="15" hidden="false" customHeight="false" outlineLevel="0" collapsed="false">
      <c r="A23" s="6" t="s">
        <v>83</v>
      </c>
      <c r="B23" s="6" t="s">
        <v>84</v>
      </c>
      <c r="C23" s="6" t="s">
        <v>85</v>
      </c>
      <c r="D23" s="6" t="s">
        <v>86</v>
      </c>
      <c r="E23" s="6" t="s">
        <v>87</v>
      </c>
      <c r="F23" s="7" t="n">
        <v>44766</v>
      </c>
      <c r="G23" s="8" t="n">
        <v>85410</v>
      </c>
      <c r="H23" s="8" t="n">
        <f aca="false">G23*0.4</f>
        <v>34164</v>
      </c>
      <c r="I23" s="8" t="n">
        <f aca="false">G23*0.12</f>
        <v>10249.2</v>
      </c>
      <c r="J23" s="8" t="n">
        <f aca="false">G23+H23</f>
        <v>119574</v>
      </c>
      <c r="K23" s="6" t="s">
        <v>19</v>
      </c>
      <c r="L23" s="9" t="n">
        <v>1</v>
      </c>
      <c r="M23" s="6" t="str">
        <f aca="false">IF(L23=5,"A+",IF(L23=4,"A",IF(L23=3,"B",IF(L23=2,"C","D"))))</f>
        <v>D</v>
      </c>
      <c r="N23" s="6" t="n">
        <f aca="true">DATEDIF(F23,TODAY(),"Y")</f>
        <v>3</v>
      </c>
    </row>
    <row r="24" customFormat="false" ht="15" hidden="false" customHeight="false" outlineLevel="0" collapsed="false">
      <c r="A24" s="2" t="s">
        <v>88</v>
      </c>
      <c r="B24" s="2" t="s">
        <v>89</v>
      </c>
      <c r="C24" s="2" t="s">
        <v>26</v>
      </c>
      <c r="D24" s="2" t="s">
        <v>27</v>
      </c>
      <c r="E24" s="2" t="s">
        <v>42</v>
      </c>
      <c r="F24" s="3" t="n">
        <v>44877</v>
      </c>
      <c r="G24" s="4" t="n">
        <v>137168</v>
      </c>
      <c r="H24" s="4" t="n">
        <f aca="false">G24*0.4</f>
        <v>54867.2</v>
      </c>
      <c r="I24" s="4" t="n">
        <f aca="false">G24*0.12</f>
        <v>16460.16</v>
      </c>
      <c r="J24" s="4" t="n">
        <f aca="false">G24+H24</f>
        <v>192035.2</v>
      </c>
      <c r="K24" s="2" t="s">
        <v>19</v>
      </c>
      <c r="L24" s="5" t="n">
        <v>1</v>
      </c>
      <c r="M24" s="2" t="str">
        <f aca="false">IF(L24=5,"A+",IF(L24=4,"A",IF(L24=3,"B",IF(L24=2,"C","D"))))</f>
        <v>D</v>
      </c>
      <c r="N24" s="2" t="n">
        <f aca="true">DATEDIF(F24,TODAY(),"Y")</f>
        <v>3</v>
      </c>
    </row>
    <row r="25" customFormat="false" ht="15" hidden="false" customHeight="false" outlineLevel="0" collapsed="false">
      <c r="A25" s="6" t="s">
        <v>90</v>
      </c>
      <c r="B25" s="6" t="s">
        <v>91</v>
      </c>
      <c r="C25" s="6" t="s">
        <v>85</v>
      </c>
      <c r="D25" s="6" t="s">
        <v>92</v>
      </c>
      <c r="E25" s="6" t="s">
        <v>87</v>
      </c>
      <c r="F25" s="7" t="n">
        <v>44313</v>
      </c>
      <c r="G25" s="8" t="n">
        <v>31915</v>
      </c>
      <c r="H25" s="8" t="n">
        <f aca="false">G25*0.4</f>
        <v>12766</v>
      </c>
      <c r="I25" s="8" t="n">
        <f aca="false">G25*0.12</f>
        <v>3829.8</v>
      </c>
      <c r="J25" s="8" t="n">
        <f aca="false">G25+H25</f>
        <v>44681</v>
      </c>
      <c r="K25" s="6" t="s">
        <v>19</v>
      </c>
      <c r="L25" s="9" t="n">
        <v>5</v>
      </c>
      <c r="M25" s="6" t="str">
        <f aca="false">IF(L25=5,"A+",IF(L25=4,"A",IF(L25=3,"B",IF(L25=2,"C","D"))))</f>
        <v>A+</v>
      </c>
      <c r="N25" s="6" t="n">
        <f aca="true">DATEDIF(F25,TODAY(),"Y")</f>
        <v>5</v>
      </c>
    </row>
    <row r="26" customFormat="false" ht="15" hidden="false" customHeight="false" outlineLevel="0" collapsed="false">
      <c r="A26" s="10" t="s">
        <v>93</v>
      </c>
      <c r="B26" s="10" t="s">
        <v>94</v>
      </c>
      <c r="C26" s="10" t="s">
        <v>26</v>
      </c>
      <c r="D26" s="10" t="s">
        <v>95</v>
      </c>
      <c r="E26" s="10" t="s">
        <v>42</v>
      </c>
      <c r="F26" s="11" t="n">
        <v>42759</v>
      </c>
      <c r="G26" s="12" t="n">
        <v>105026</v>
      </c>
      <c r="H26" s="12" t="n">
        <f aca="false">G26*0.4</f>
        <v>42010.4</v>
      </c>
      <c r="I26" s="12" t="n">
        <f aca="false">G26*0.12</f>
        <v>12603.12</v>
      </c>
      <c r="J26" s="12" t="n">
        <f aca="false">G26+H26</f>
        <v>147036.4</v>
      </c>
      <c r="K26" s="10" t="s">
        <v>29</v>
      </c>
      <c r="L26" s="13" t="n">
        <v>4</v>
      </c>
      <c r="M26" s="10" t="str">
        <f aca="false">IF(L26=5,"A+",IF(L26=4,"A",IF(L26=3,"B",IF(L26=2,"C","D"))))</f>
        <v>A</v>
      </c>
      <c r="N26" s="10" t="n">
        <f aca="true">DATEDIF(F26,TODAY(),"Y")</f>
        <v>9</v>
      </c>
    </row>
    <row r="27" customFormat="false" ht="15" hidden="false" customHeight="false" outlineLevel="0" collapsed="false">
      <c r="A27" s="6" t="s">
        <v>96</v>
      </c>
      <c r="B27" s="6" t="s">
        <v>97</v>
      </c>
      <c r="C27" s="6" t="s">
        <v>26</v>
      </c>
      <c r="D27" s="6" t="s">
        <v>57</v>
      </c>
      <c r="E27" s="6" t="s">
        <v>32</v>
      </c>
      <c r="F27" s="7" t="n">
        <v>42241</v>
      </c>
      <c r="G27" s="8" t="n">
        <v>64941</v>
      </c>
      <c r="H27" s="8" t="n">
        <f aca="false">G27*0.4</f>
        <v>25976.4</v>
      </c>
      <c r="I27" s="8" t="n">
        <f aca="false">G27*0.12</f>
        <v>7792.92</v>
      </c>
      <c r="J27" s="8" t="n">
        <f aca="false">G27+H27</f>
        <v>90917.4</v>
      </c>
      <c r="K27" s="6" t="s">
        <v>19</v>
      </c>
      <c r="L27" s="9" t="n">
        <v>2</v>
      </c>
      <c r="M27" s="6" t="str">
        <f aca="false">IF(L27=5,"A+",IF(L27=4,"A",IF(L27=3,"B",IF(L27=2,"C","D"))))</f>
        <v>C</v>
      </c>
      <c r="N27" s="6" t="n">
        <f aca="true">DATEDIF(F27,TODAY(),"Y")</f>
        <v>10</v>
      </c>
    </row>
    <row r="28" customFormat="false" ht="15" hidden="false" customHeight="false" outlineLevel="0" collapsed="false">
      <c r="A28" s="10" t="s">
        <v>98</v>
      </c>
      <c r="B28" s="10" t="s">
        <v>99</v>
      </c>
      <c r="C28" s="10" t="s">
        <v>26</v>
      </c>
      <c r="D28" s="10" t="s">
        <v>60</v>
      </c>
      <c r="E28" s="10" t="s">
        <v>87</v>
      </c>
      <c r="F28" s="11" t="n">
        <v>44152</v>
      </c>
      <c r="G28" s="12" t="n">
        <v>42390</v>
      </c>
      <c r="H28" s="12" t="n">
        <f aca="false">G28*0.4</f>
        <v>16956</v>
      </c>
      <c r="I28" s="12" t="n">
        <f aca="false">G28*0.12</f>
        <v>5086.8</v>
      </c>
      <c r="J28" s="12" t="n">
        <f aca="false">G28+H28</f>
        <v>59346</v>
      </c>
      <c r="K28" s="10" t="s">
        <v>29</v>
      </c>
      <c r="L28" s="13" t="n">
        <v>1</v>
      </c>
      <c r="M28" s="10" t="str">
        <f aca="false">IF(L28=5,"A+",IF(L28=4,"A",IF(L28=3,"B",IF(L28=2,"C","D"))))</f>
        <v>D</v>
      </c>
      <c r="N28" s="10" t="n">
        <f aca="true">DATEDIF(F28,TODAY(),"Y")</f>
        <v>5</v>
      </c>
    </row>
    <row r="29" customFormat="false" ht="15" hidden="false" customHeight="false" outlineLevel="0" collapsed="false">
      <c r="A29" s="10" t="s">
        <v>100</v>
      </c>
      <c r="B29" s="10" t="s">
        <v>101</v>
      </c>
      <c r="C29" s="10" t="s">
        <v>63</v>
      </c>
      <c r="D29" s="10" t="s">
        <v>80</v>
      </c>
      <c r="E29" s="10" t="s">
        <v>87</v>
      </c>
      <c r="F29" s="11" t="n">
        <v>44805</v>
      </c>
      <c r="G29" s="12" t="n">
        <v>96339</v>
      </c>
      <c r="H29" s="12" t="n">
        <f aca="false">G29*0.4</f>
        <v>38535.6</v>
      </c>
      <c r="I29" s="12" t="n">
        <f aca="false">G29*0.12</f>
        <v>11560.68</v>
      </c>
      <c r="J29" s="12" t="n">
        <f aca="false">G29+H29</f>
        <v>134874.6</v>
      </c>
      <c r="K29" s="10" t="s">
        <v>29</v>
      </c>
      <c r="L29" s="13" t="n">
        <v>5</v>
      </c>
      <c r="M29" s="10" t="str">
        <f aca="false">IF(L29=5,"A+",IF(L29=4,"A",IF(L29=3,"B",IF(L29=2,"C","D"))))</f>
        <v>A+</v>
      </c>
      <c r="N29" s="10" t="n">
        <f aca="true">DATEDIF(F29,TODAY(),"Y")</f>
        <v>3</v>
      </c>
    </row>
    <row r="30" customFormat="false" ht="15" hidden="false" customHeight="false" outlineLevel="0" collapsed="false">
      <c r="A30" s="2" t="s">
        <v>102</v>
      </c>
      <c r="B30" s="2" t="s">
        <v>103</v>
      </c>
      <c r="C30" s="2" t="s">
        <v>85</v>
      </c>
      <c r="D30" s="2" t="s">
        <v>86</v>
      </c>
      <c r="E30" s="2" t="s">
        <v>18</v>
      </c>
      <c r="F30" s="3" t="n">
        <v>43451</v>
      </c>
      <c r="G30" s="4" t="n">
        <v>88276</v>
      </c>
      <c r="H30" s="4" t="n">
        <f aca="false">G30*0.4</f>
        <v>35310.4</v>
      </c>
      <c r="I30" s="4" t="n">
        <f aca="false">G30*0.12</f>
        <v>10593.12</v>
      </c>
      <c r="J30" s="4" t="n">
        <f aca="false">G30+H30</f>
        <v>123586.4</v>
      </c>
      <c r="K30" s="2" t="s">
        <v>19</v>
      </c>
      <c r="L30" s="5" t="n">
        <v>4</v>
      </c>
      <c r="M30" s="2" t="str">
        <f aca="false">IF(L30=5,"A+",IF(L30=4,"A",IF(L30=3,"B",IF(L30=2,"C","D"))))</f>
        <v>A</v>
      </c>
      <c r="N30" s="2" t="n">
        <f aca="true">DATEDIF(F30,TODAY(),"Y")</f>
        <v>7</v>
      </c>
    </row>
    <row r="31" customFormat="false" ht="15" hidden="false" customHeight="false" outlineLevel="0" collapsed="false">
      <c r="A31" s="6" t="s">
        <v>104</v>
      </c>
      <c r="B31" s="6" t="s">
        <v>105</v>
      </c>
      <c r="C31" s="6" t="s">
        <v>22</v>
      </c>
      <c r="D31" s="6" t="s">
        <v>23</v>
      </c>
      <c r="E31" s="6" t="s">
        <v>87</v>
      </c>
      <c r="F31" s="7" t="n">
        <v>43284</v>
      </c>
      <c r="G31" s="8" t="n">
        <v>136036</v>
      </c>
      <c r="H31" s="8" t="n">
        <f aca="false">G31*0.4</f>
        <v>54414.4</v>
      </c>
      <c r="I31" s="8" t="n">
        <f aca="false">G31*0.12</f>
        <v>16324.32</v>
      </c>
      <c r="J31" s="8" t="n">
        <f aca="false">G31+H31</f>
        <v>190450.4</v>
      </c>
      <c r="K31" s="6" t="s">
        <v>19</v>
      </c>
      <c r="L31" s="9" t="n">
        <v>3</v>
      </c>
      <c r="M31" s="6" t="str">
        <f aca="false">IF(L31=5,"A+",IF(L31=4,"A",IF(L31=3,"B",IF(L31=2,"C","D"))))</f>
        <v>B</v>
      </c>
      <c r="N31" s="6" t="n">
        <f aca="true">DATEDIF(F31,TODAY(),"Y")</f>
        <v>7</v>
      </c>
    </row>
    <row r="32" customFormat="false" ht="15" hidden="false" customHeight="false" outlineLevel="0" collapsed="false">
      <c r="A32" s="14" t="s">
        <v>106</v>
      </c>
      <c r="B32" s="14" t="s">
        <v>107</v>
      </c>
      <c r="C32" s="14" t="s">
        <v>16</v>
      </c>
      <c r="D32" s="14" t="s">
        <v>17</v>
      </c>
      <c r="E32" s="14" t="s">
        <v>28</v>
      </c>
      <c r="F32" s="15" t="n">
        <v>42567</v>
      </c>
      <c r="G32" s="16" t="n">
        <v>66883</v>
      </c>
      <c r="H32" s="16" t="n">
        <f aca="false">G32*0.4</f>
        <v>26753.2</v>
      </c>
      <c r="I32" s="16" t="n">
        <f aca="false">G32*0.12</f>
        <v>8025.96</v>
      </c>
      <c r="J32" s="16" t="n">
        <f aca="false">G32+H32</f>
        <v>93636.2</v>
      </c>
      <c r="K32" s="14" t="s">
        <v>73</v>
      </c>
      <c r="L32" s="17" t="n">
        <v>4</v>
      </c>
      <c r="M32" s="14" t="str">
        <f aca="false">IF(L32=5,"A+",IF(L32=4,"A",IF(L32=3,"B",IF(L32=2,"C","D"))))</f>
        <v>A</v>
      </c>
      <c r="N32" s="14" t="n">
        <f aca="true">DATEDIF(F32,TODAY(),"Y")</f>
        <v>9</v>
      </c>
    </row>
    <row r="33" customFormat="false" ht="15" hidden="false" customHeight="false" outlineLevel="0" collapsed="false">
      <c r="A33" s="6" t="s">
        <v>108</v>
      </c>
      <c r="B33" s="6" t="s">
        <v>109</v>
      </c>
      <c r="C33" s="6" t="s">
        <v>22</v>
      </c>
      <c r="D33" s="6" t="s">
        <v>38</v>
      </c>
      <c r="E33" s="6" t="s">
        <v>47</v>
      </c>
      <c r="F33" s="7" t="n">
        <v>43985</v>
      </c>
      <c r="G33" s="8" t="n">
        <v>97149</v>
      </c>
      <c r="H33" s="8" t="n">
        <f aca="false">G33*0.4</f>
        <v>38859.6</v>
      </c>
      <c r="I33" s="8" t="n">
        <f aca="false">G33*0.12</f>
        <v>11657.88</v>
      </c>
      <c r="J33" s="8" t="n">
        <f aca="false">G33+H33</f>
        <v>136008.6</v>
      </c>
      <c r="K33" s="6" t="s">
        <v>19</v>
      </c>
      <c r="L33" s="9" t="n">
        <v>4</v>
      </c>
      <c r="M33" s="6" t="str">
        <f aca="false">IF(L33=5,"A+",IF(L33=4,"A",IF(L33=3,"B",IF(L33=2,"C","D"))))</f>
        <v>A</v>
      </c>
      <c r="N33" s="6" t="n">
        <f aca="true">DATEDIF(F33,TODAY(),"Y")</f>
        <v>6</v>
      </c>
    </row>
    <row r="34" customFormat="false" ht="15" hidden="false" customHeight="false" outlineLevel="0" collapsed="false">
      <c r="A34" s="2" t="s">
        <v>110</v>
      </c>
      <c r="B34" s="2" t="s">
        <v>111</v>
      </c>
      <c r="C34" s="2" t="s">
        <v>45</v>
      </c>
      <c r="D34" s="2" t="s">
        <v>112</v>
      </c>
      <c r="E34" s="2" t="s">
        <v>18</v>
      </c>
      <c r="F34" s="3" t="n">
        <v>42426</v>
      </c>
      <c r="G34" s="4" t="n">
        <v>131018</v>
      </c>
      <c r="H34" s="4" t="n">
        <f aca="false">G34*0.4</f>
        <v>52407.2</v>
      </c>
      <c r="I34" s="4" t="n">
        <f aca="false">G34*0.12</f>
        <v>15722.16</v>
      </c>
      <c r="J34" s="4" t="n">
        <f aca="false">G34+H34</f>
        <v>183425.2</v>
      </c>
      <c r="K34" s="2" t="s">
        <v>19</v>
      </c>
      <c r="L34" s="5" t="n">
        <v>3</v>
      </c>
      <c r="M34" s="2" t="str">
        <f aca="false">IF(L34=5,"A+",IF(L34=4,"A",IF(L34=3,"B",IF(L34=2,"C","D"))))</f>
        <v>B</v>
      </c>
      <c r="N34" s="2" t="n">
        <f aca="true">DATEDIF(F34,TODAY(),"Y")</f>
        <v>10</v>
      </c>
    </row>
    <row r="35" customFormat="false" ht="15" hidden="false" customHeight="false" outlineLevel="0" collapsed="false">
      <c r="A35" s="14" t="s">
        <v>113</v>
      </c>
      <c r="B35" s="14" t="s">
        <v>114</v>
      </c>
      <c r="C35" s="14" t="s">
        <v>63</v>
      </c>
      <c r="D35" s="14" t="s">
        <v>80</v>
      </c>
      <c r="E35" s="14" t="s">
        <v>18</v>
      </c>
      <c r="F35" s="15" t="n">
        <v>43651</v>
      </c>
      <c r="G35" s="16" t="n">
        <v>112394</v>
      </c>
      <c r="H35" s="16" t="n">
        <f aca="false">G35*0.4</f>
        <v>44957.6</v>
      </c>
      <c r="I35" s="16" t="n">
        <f aca="false">G35*0.12</f>
        <v>13487.28</v>
      </c>
      <c r="J35" s="16" t="n">
        <f aca="false">G35+H35</f>
        <v>157351.6</v>
      </c>
      <c r="K35" s="14" t="s">
        <v>73</v>
      </c>
      <c r="L35" s="17" t="n">
        <v>3</v>
      </c>
      <c r="M35" s="14" t="str">
        <f aca="false">IF(L35=5,"A+",IF(L35=4,"A",IF(L35=3,"B",IF(L35=2,"C","D"))))</f>
        <v>B</v>
      </c>
      <c r="N35" s="14" t="n">
        <f aca="true">DATEDIF(F35,TODAY(),"Y")</f>
        <v>6</v>
      </c>
    </row>
    <row r="36" customFormat="false" ht="15" hidden="false" customHeight="false" outlineLevel="0" collapsed="false">
      <c r="A36" s="2" t="s">
        <v>115</v>
      </c>
      <c r="B36" s="2" t="s">
        <v>116</v>
      </c>
      <c r="C36" s="2" t="s">
        <v>16</v>
      </c>
      <c r="D36" s="2" t="s">
        <v>50</v>
      </c>
      <c r="E36" s="2" t="s">
        <v>42</v>
      </c>
      <c r="F36" s="3" t="n">
        <v>44236</v>
      </c>
      <c r="G36" s="4" t="n">
        <v>25551</v>
      </c>
      <c r="H36" s="4" t="n">
        <f aca="false">G36*0.4</f>
        <v>10220.4</v>
      </c>
      <c r="I36" s="4" t="n">
        <f aca="false">G36*0.12</f>
        <v>3066.12</v>
      </c>
      <c r="J36" s="4" t="n">
        <f aca="false">G36+H36</f>
        <v>35771.4</v>
      </c>
      <c r="K36" s="2" t="s">
        <v>19</v>
      </c>
      <c r="L36" s="5" t="n">
        <v>5</v>
      </c>
      <c r="M36" s="2" t="str">
        <f aca="false">IF(L36=5,"A+",IF(L36=4,"A",IF(L36=3,"B",IF(L36=2,"C","D"))))</f>
        <v>A+</v>
      </c>
      <c r="N36" s="2" t="n">
        <f aca="true">DATEDIF(F36,TODAY(),"Y")</f>
        <v>5</v>
      </c>
    </row>
    <row r="37" customFormat="false" ht="15" hidden="false" customHeight="false" outlineLevel="0" collapsed="false">
      <c r="A37" s="6" t="s">
        <v>117</v>
      </c>
      <c r="B37" s="6" t="s">
        <v>118</v>
      </c>
      <c r="C37" s="6" t="s">
        <v>63</v>
      </c>
      <c r="D37" s="6" t="s">
        <v>119</v>
      </c>
      <c r="E37" s="6" t="s">
        <v>47</v>
      </c>
      <c r="F37" s="7" t="n">
        <v>44572</v>
      </c>
      <c r="G37" s="8" t="n">
        <v>43122</v>
      </c>
      <c r="H37" s="8" t="n">
        <f aca="false">G37*0.4</f>
        <v>17248.8</v>
      </c>
      <c r="I37" s="8" t="n">
        <f aca="false">G37*0.12</f>
        <v>5174.64</v>
      </c>
      <c r="J37" s="8" t="n">
        <f aca="false">G37+H37</f>
        <v>60370.8</v>
      </c>
      <c r="K37" s="6" t="s">
        <v>19</v>
      </c>
      <c r="L37" s="9" t="n">
        <v>5</v>
      </c>
      <c r="M37" s="6" t="str">
        <f aca="false">IF(L37=5,"A+",IF(L37=4,"A",IF(L37=3,"B",IF(L37=2,"C","D"))))</f>
        <v>A+</v>
      </c>
      <c r="N37" s="6" t="n">
        <f aca="true">DATEDIF(F37,TODAY(),"Y")</f>
        <v>4</v>
      </c>
    </row>
    <row r="38" customFormat="false" ht="15" hidden="false" customHeight="false" outlineLevel="0" collapsed="false">
      <c r="A38" s="2" t="s">
        <v>120</v>
      </c>
      <c r="B38" s="2" t="s">
        <v>121</v>
      </c>
      <c r="C38" s="2" t="s">
        <v>63</v>
      </c>
      <c r="D38" s="2" t="s">
        <v>119</v>
      </c>
      <c r="E38" s="2" t="s">
        <v>32</v>
      </c>
      <c r="F38" s="3" t="n">
        <v>42070</v>
      </c>
      <c r="G38" s="4" t="n">
        <v>35223</v>
      </c>
      <c r="H38" s="4" t="n">
        <f aca="false">G38*0.4</f>
        <v>14089.2</v>
      </c>
      <c r="I38" s="4" t="n">
        <f aca="false">G38*0.12</f>
        <v>4226.76</v>
      </c>
      <c r="J38" s="4" t="n">
        <f aca="false">G38+H38</f>
        <v>49312.2</v>
      </c>
      <c r="K38" s="2" t="s">
        <v>19</v>
      </c>
      <c r="L38" s="5" t="n">
        <v>3</v>
      </c>
      <c r="M38" s="2" t="str">
        <f aca="false">IF(L38=5,"A+",IF(L38=4,"A",IF(L38=3,"B",IF(L38=2,"C","D"))))</f>
        <v>B</v>
      </c>
      <c r="N38" s="2" t="n">
        <f aca="true">DATEDIF(F38,TODAY(),"Y")</f>
        <v>11</v>
      </c>
    </row>
    <row r="39" customFormat="false" ht="15" hidden="false" customHeight="false" outlineLevel="0" collapsed="false">
      <c r="A39" s="6" t="s">
        <v>122</v>
      </c>
      <c r="B39" s="6" t="s">
        <v>123</v>
      </c>
      <c r="C39" s="6" t="s">
        <v>26</v>
      </c>
      <c r="D39" s="6" t="s">
        <v>57</v>
      </c>
      <c r="E39" s="6" t="s">
        <v>32</v>
      </c>
      <c r="F39" s="7" t="n">
        <v>42126</v>
      </c>
      <c r="G39" s="8" t="n">
        <v>45604</v>
      </c>
      <c r="H39" s="8" t="n">
        <f aca="false">G39*0.4</f>
        <v>18241.6</v>
      </c>
      <c r="I39" s="8" t="n">
        <f aca="false">G39*0.12</f>
        <v>5472.48</v>
      </c>
      <c r="J39" s="8" t="n">
        <f aca="false">G39+H39</f>
        <v>63845.6</v>
      </c>
      <c r="K39" s="6" t="s">
        <v>19</v>
      </c>
      <c r="L39" s="9" t="n">
        <v>5</v>
      </c>
      <c r="M39" s="6" t="str">
        <f aca="false">IF(L39=5,"A+",IF(L39=4,"A",IF(L39=3,"B",IF(L39=2,"C","D"))))</f>
        <v>A+</v>
      </c>
      <c r="N39" s="6" t="n">
        <f aca="true">DATEDIF(F39,TODAY(),"Y")</f>
        <v>11</v>
      </c>
    </row>
    <row r="40" customFormat="false" ht="15" hidden="false" customHeight="false" outlineLevel="0" collapsed="false">
      <c r="A40" s="2" t="s">
        <v>124</v>
      </c>
      <c r="B40" s="2" t="s">
        <v>125</v>
      </c>
      <c r="C40" s="2" t="s">
        <v>63</v>
      </c>
      <c r="D40" s="2" t="s">
        <v>64</v>
      </c>
      <c r="E40" s="2" t="s">
        <v>87</v>
      </c>
      <c r="F40" s="3" t="n">
        <v>44831</v>
      </c>
      <c r="G40" s="4" t="n">
        <v>148204</v>
      </c>
      <c r="H40" s="4" t="n">
        <f aca="false">G40*0.4</f>
        <v>59281.6</v>
      </c>
      <c r="I40" s="4" t="n">
        <f aca="false">G40*0.12</f>
        <v>17784.48</v>
      </c>
      <c r="J40" s="4" t="n">
        <f aca="false">G40+H40</f>
        <v>207485.6</v>
      </c>
      <c r="K40" s="2" t="s">
        <v>19</v>
      </c>
      <c r="L40" s="5" t="n">
        <v>3</v>
      </c>
      <c r="M40" s="2" t="str">
        <f aca="false">IF(L40=5,"A+",IF(L40=4,"A",IF(L40=3,"B",IF(L40=2,"C","D"))))</f>
        <v>B</v>
      </c>
      <c r="N40" s="2" t="n">
        <f aca="true">DATEDIF(F40,TODAY(),"Y")</f>
        <v>3</v>
      </c>
    </row>
    <row r="41" customFormat="false" ht="15" hidden="false" customHeight="false" outlineLevel="0" collapsed="false">
      <c r="A41" s="6" t="s">
        <v>126</v>
      </c>
      <c r="B41" s="6" t="s">
        <v>127</v>
      </c>
      <c r="C41" s="6" t="s">
        <v>85</v>
      </c>
      <c r="D41" s="6" t="s">
        <v>128</v>
      </c>
      <c r="E41" s="6" t="s">
        <v>18</v>
      </c>
      <c r="F41" s="7" t="n">
        <v>42064</v>
      </c>
      <c r="G41" s="8" t="n">
        <v>65494</v>
      </c>
      <c r="H41" s="8" t="n">
        <f aca="false">G41*0.4</f>
        <v>26197.6</v>
      </c>
      <c r="I41" s="8" t="n">
        <f aca="false">G41*0.12</f>
        <v>7859.28</v>
      </c>
      <c r="J41" s="8" t="n">
        <f aca="false">G41+H41</f>
        <v>91691.6</v>
      </c>
      <c r="K41" s="6" t="s">
        <v>19</v>
      </c>
      <c r="L41" s="9" t="n">
        <v>1</v>
      </c>
      <c r="M41" s="6" t="str">
        <f aca="false">IF(L41=5,"A+",IF(L41=4,"A",IF(L41=3,"B",IF(L41=2,"C","D"))))</f>
        <v>D</v>
      </c>
      <c r="N41" s="6" t="n">
        <f aca="true">DATEDIF(F41,TODAY(),"Y")</f>
        <v>11</v>
      </c>
    </row>
    <row r="42" customFormat="false" ht="15" hidden="false" customHeight="false" outlineLevel="0" collapsed="false">
      <c r="A42" s="2" t="s">
        <v>129</v>
      </c>
      <c r="B42" s="2" t="s">
        <v>130</v>
      </c>
      <c r="C42" s="2" t="s">
        <v>85</v>
      </c>
      <c r="D42" s="2" t="s">
        <v>131</v>
      </c>
      <c r="E42" s="2" t="s">
        <v>18</v>
      </c>
      <c r="F42" s="3" t="n">
        <v>43444</v>
      </c>
      <c r="G42" s="4" t="n">
        <v>140648</v>
      </c>
      <c r="H42" s="4" t="n">
        <f aca="false">G42*0.4</f>
        <v>56259.2</v>
      </c>
      <c r="I42" s="4" t="n">
        <f aca="false">G42*0.12</f>
        <v>16877.76</v>
      </c>
      <c r="J42" s="4" t="n">
        <f aca="false">G42+H42</f>
        <v>196907.2</v>
      </c>
      <c r="K42" s="2" t="s">
        <v>19</v>
      </c>
      <c r="L42" s="5" t="n">
        <v>4</v>
      </c>
      <c r="M42" s="2" t="str">
        <f aca="false">IF(L42=5,"A+",IF(L42=4,"A",IF(L42=3,"B",IF(L42=2,"C","D"))))</f>
        <v>A</v>
      </c>
      <c r="N42" s="2" t="n">
        <f aca="true">DATEDIF(F42,TODAY(),"Y")</f>
        <v>7</v>
      </c>
    </row>
    <row r="43" customFormat="false" ht="15" hidden="false" customHeight="false" outlineLevel="0" collapsed="false">
      <c r="A43" s="6" t="s">
        <v>132</v>
      </c>
      <c r="B43" s="6" t="s">
        <v>133</v>
      </c>
      <c r="C43" s="6" t="s">
        <v>16</v>
      </c>
      <c r="D43" s="6" t="s">
        <v>76</v>
      </c>
      <c r="E43" s="6" t="s">
        <v>18</v>
      </c>
      <c r="F43" s="7" t="n">
        <v>43110</v>
      </c>
      <c r="G43" s="8" t="n">
        <v>86990</v>
      </c>
      <c r="H43" s="8" t="n">
        <f aca="false">G43*0.4</f>
        <v>34796</v>
      </c>
      <c r="I43" s="8" t="n">
        <f aca="false">G43*0.12</f>
        <v>10438.8</v>
      </c>
      <c r="J43" s="8" t="n">
        <f aca="false">G43+H43</f>
        <v>121786</v>
      </c>
      <c r="K43" s="6" t="s">
        <v>19</v>
      </c>
      <c r="L43" s="9" t="n">
        <v>4</v>
      </c>
      <c r="M43" s="6" t="str">
        <f aca="false">IF(L43=5,"A+",IF(L43=4,"A",IF(L43=3,"B",IF(L43=2,"C","D"))))</f>
        <v>A</v>
      </c>
      <c r="N43" s="6" t="n">
        <f aca="true">DATEDIF(F43,TODAY(),"Y")</f>
        <v>8</v>
      </c>
    </row>
    <row r="44" customFormat="false" ht="15" hidden="false" customHeight="false" outlineLevel="0" collapsed="false">
      <c r="A44" s="2" t="s">
        <v>134</v>
      </c>
      <c r="B44" s="2" t="s">
        <v>135</v>
      </c>
      <c r="C44" s="2" t="s">
        <v>22</v>
      </c>
      <c r="D44" s="2" t="s">
        <v>38</v>
      </c>
      <c r="E44" s="2" t="s">
        <v>28</v>
      </c>
      <c r="F44" s="3" t="n">
        <v>43368</v>
      </c>
      <c r="G44" s="4" t="n">
        <v>92312</v>
      </c>
      <c r="H44" s="4" t="n">
        <f aca="false">G44*0.4</f>
        <v>36924.8</v>
      </c>
      <c r="I44" s="4" t="n">
        <f aca="false">G44*0.12</f>
        <v>11077.44</v>
      </c>
      <c r="J44" s="4" t="n">
        <f aca="false">G44+H44</f>
        <v>129236.8</v>
      </c>
      <c r="K44" s="2" t="s">
        <v>19</v>
      </c>
      <c r="L44" s="5" t="n">
        <v>4</v>
      </c>
      <c r="M44" s="2" t="str">
        <f aca="false">IF(L44=5,"A+",IF(L44=4,"A",IF(L44=3,"B",IF(L44=2,"C","D"))))</f>
        <v>A</v>
      </c>
      <c r="N44" s="2" t="n">
        <f aca="true">DATEDIF(F44,TODAY(),"Y")</f>
        <v>7</v>
      </c>
    </row>
    <row r="45" customFormat="false" ht="15" hidden="false" customHeight="false" outlineLevel="0" collapsed="false">
      <c r="A45" s="14" t="s">
        <v>136</v>
      </c>
      <c r="B45" s="14" t="s">
        <v>137</v>
      </c>
      <c r="C45" s="14" t="s">
        <v>45</v>
      </c>
      <c r="D45" s="14" t="s">
        <v>112</v>
      </c>
      <c r="E45" s="14" t="s">
        <v>32</v>
      </c>
      <c r="F45" s="15" t="n">
        <v>43777</v>
      </c>
      <c r="G45" s="16" t="n">
        <v>140349</v>
      </c>
      <c r="H45" s="16" t="n">
        <f aca="false">G45*0.4</f>
        <v>56139.6</v>
      </c>
      <c r="I45" s="16" t="n">
        <f aca="false">G45*0.12</f>
        <v>16841.88</v>
      </c>
      <c r="J45" s="16" t="n">
        <f aca="false">G45+H45</f>
        <v>196488.6</v>
      </c>
      <c r="K45" s="14" t="s">
        <v>73</v>
      </c>
      <c r="L45" s="17" t="n">
        <v>5</v>
      </c>
      <c r="M45" s="14" t="str">
        <f aca="false">IF(L45=5,"A+",IF(L45=4,"A",IF(L45=3,"B",IF(L45=2,"C","D"))))</f>
        <v>A+</v>
      </c>
      <c r="N45" s="14" t="n">
        <f aca="true">DATEDIF(F45,TODAY(),"Y")</f>
        <v>6</v>
      </c>
    </row>
    <row r="46" customFormat="false" ht="15" hidden="false" customHeight="false" outlineLevel="0" collapsed="false">
      <c r="A46" s="2" t="s">
        <v>138</v>
      </c>
      <c r="B46" s="2" t="s">
        <v>139</v>
      </c>
      <c r="C46" s="2" t="s">
        <v>16</v>
      </c>
      <c r="D46" s="2" t="s">
        <v>35</v>
      </c>
      <c r="E46" s="2" t="s">
        <v>42</v>
      </c>
      <c r="F46" s="3" t="n">
        <v>42762</v>
      </c>
      <c r="G46" s="4" t="n">
        <v>186262</v>
      </c>
      <c r="H46" s="4" t="n">
        <f aca="false">G46*0.4</f>
        <v>74504.8</v>
      </c>
      <c r="I46" s="4" t="n">
        <f aca="false">G46*0.12</f>
        <v>22351.44</v>
      </c>
      <c r="J46" s="4" t="n">
        <f aca="false">G46+H46</f>
        <v>260766.8</v>
      </c>
      <c r="K46" s="2" t="s">
        <v>19</v>
      </c>
      <c r="L46" s="5" t="n">
        <v>5</v>
      </c>
      <c r="M46" s="2" t="str">
        <f aca="false">IF(L46=5,"A+",IF(L46=4,"A",IF(L46=3,"B",IF(L46=2,"C","D"))))</f>
        <v>A+</v>
      </c>
      <c r="N46" s="2" t="n">
        <f aca="true">DATEDIF(F46,TODAY(),"Y")</f>
        <v>9</v>
      </c>
    </row>
    <row r="47" customFormat="false" ht="15" hidden="false" customHeight="false" outlineLevel="0" collapsed="false">
      <c r="A47" s="6" t="s">
        <v>140</v>
      </c>
      <c r="B47" s="6" t="s">
        <v>141</v>
      </c>
      <c r="C47" s="6" t="s">
        <v>26</v>
      </c>
      <c r="D47" s="6" t="s">
        <v>60</v>
      </c>
      <c r="E47" s="6" t="s">
        <v>28</v>
      </c>
      <c r="F47" s="7" t="n">
        <v>42371</v>
      </c>
      <c r="G47" s="8" t="n">
        <v>29361</v>
      </c>
      <c r="H47" s="8" t="n">
        <f aca="false">G47*0.4</f>
        <v>11744.4</v>
      </c>
      <c r="I47" s="8" t="n">
        <f aca="false">G47*0.12</f>
        <v>3523.32</v>
      </c>
      <c r="J47" s="8" t="n">
        <f aca="false">G47+H47</f>
        <v>41105.4</v>
      </c>
      <c r="K47" s="6" t="s">
        <v>19</v>
      </c>
      <c r="L47" s="9" t="n">
        <v>4</v>
      </c>
      <c r="M47" s="6" t="str">
        <f aca="false">IF(L47=5,"A+",IF(L47=4,"A",IF(L47=3,"B",IF(L47=2,"C","D"))))</f>
        <v>A</v>
      </c>
      <c r="N47" s="6" t="n">
        <f aca="true">DATEDIF(F47,TODAY(),"Y")</f>
        <v>10</v>
      </c>
    </row>
    <row r="48" customFormat="false" ht="15" hidden="false" customHeight="false" outlineLevel="0" collapsed="false">
      <c r="A48" s="10" t="s">
        <v>142</v>
      </c>
      <c r="B48" s="10" t="s">
        <v>143</v>
      </c>
      <c r="C48" s="10" t="s">
        <v>45</v>
      </c>
      <c r="D48" s="10" t="s">
        <v>144</v>
      </c>
      <c r="E48" s="10" t="s">
        <v>47</v>
      </c>
      <c r="F48" s="11" t="n">
        <v>44682</v>
      </c>
      <c r="G48" s="12" t="n">
        <v>39973</v>
      </c>
      <c r="H48" s="12" t="n">
        <f aca="false">G48*0.4</f>
        <v>15989.2</v>
      </c>
      <c r="I48" s="12" t="n">
        <f aca="false">G48*0.12</f>
        <v>4796.76</v>
      </c>
      <c r="J48" s="12" t="n">
        <f aca="false">G48+H48</f>
        <v>55962.2</v>
      </c>
      <c r="K48" s="10" t="s">
        <v>29</v>
      </c>
      <c r="L48" s="13" t="n">
        <v>1</v>
      </c>
      <c r="M48" s="10" t="str">
        <f aca="false">IF(L48=5,"A+",IF(L48=4,"A",IF(L48=3,"B",IF(L48=2,"C","D"))))</f>
        <v>D</v>
      </c>
      <c r="N48" s="10" t="n">
        <f aca="true">DATEDIF(F48,TODAY(),"Y")</f>
        <v>4</v>
      </c>
    </row>
    <row r="49" customFormat="false" ht="15" hidden="false" customHeight="false" outlineLevel="0" collapsed="false">
      <c r="A49" s="14" t="s">
        <v>145</v>
      </c>
      <c r="B49" s="14" t="s">
        <v>146</v>
      </c>
      <c r="C49" s="14" t="s">
        <v>26</v>
      </c>
      <c r="D49" s="14" t="s">
        <v>60</v>
      </c>
      <c r="E49" s="14" t="s">
        <v>32</v>
      </c>
      <c r="F49" s="15" t="n">
        <v>43524</v>
      </c>
      <c r="G49" s="16" t="n">
        <v>33701</v>
      </c>
      <c r="H49" s="16" t="n">
        <f aca="false">G49*0.4</f>
        <v>13480.4</v>
      </c>
      <c r="I49" s="16" t="n">
        <f aca="false">G49*0.12</f>
        <v>4044.12</v>
      </c>
      <c r="J49" s="16" t="n">
        <f aca="false">G49+H49</f>
        <v>47181.4</v>
      </c>
      <c r="K49" s="14" t="s">
        <v>73</v>
      </c>
      <c r="L49" s="17" t="n">
        <v>4</v>
      </c>
      <c r="M49" s="14" t="str">
        <f aca="false">IF(L49=5,"A+",IF(L49=4,"A",IF(L49=3,"B",IF(L49=2,"C","D"))))</f>
        <v>A</v>
      </c>
      <c r="N49" s="14" t="n">
        <f aca="true">DATEDIF(F49,TODAY(),"Y")</f>
        <v>7</v>
      </c>
    </row>
    <row r="50" customFormat="false" ht="15" hidden="false" customHeight="false" outlineLevel="0" collapsed="false">
      <c r="A50" s="2" t="s">
        <v>147</v>
      </c>
      <c r="B50" s="2" t="s">
        <v>148</v>
      </c>
      <c r="C50" s="2" t="s">
        <v>22</v>
      </c>
      <c r="D50" s="2" t="s">
        <v>41</v>
      </c>
      <c r="E50" s="2" t="s">
        <v>47</v>
      </c>
      <c r="F50" s="3" t="n">
        <v>42298</v>
      </c>
      <c r="G50" s="4" t="n">
        <v>31497</v>
      </c>
      <c r="H50" s="4" t="n">
        <f aca="false">G50*0.4</f>
        <v>12598.8</v>
      </c>
      <c r="I50" s="4" t="n">
        <f aca="false">G50*0.12</f>
        <v>3779.64</v>
      </c>
      <c r="J50" s="4" t="n">
        <f aca="false">G50+H50</f>
        <v>44095.8</v>
      </c>
      <c r="K50" s="2" t="s">
        <v>19</v>
      </c>
      <c r="L50" s="5" t="n">
        <v>3</v>
      </c>
      <c r="M50" s="2" t="str">
        <f aca="false">IF(L50=5,"A+",IF(L50=4,"A",IF(L50=3,"B",IF(L50=2,"C","D"))))</f>
        <v>B</v>
      </c>
      <c r="N50" s="2" t="n">
        <f aca="true">DATEDIF(F50,TODAY(),"Y")</f>
        <v>10</v>
      </c>
    </row>
    <row r="51" customFormat="false" ht="15" hidden="false" customHeight="false" outlineLevel="0" collapsed="false">
      <c r="A51" s="14" t="s">
        <v>149</v>
      </c>
      <c r="B51" s="14" t="s">
        <v>150</v>
      </c>
      <c r="C51" s="14" t="s">
        <v>85</v>
      </c>
      <c r="D51" s="14" t="s">
        <v>86</v>
      </c>
      <c r="E51" s="14" t="s">
        <v>47</v>
      </c>
      <c r="F51" s="15" t="n">
        <v>42218</v>
      </c>
      <c r="G51" s="16" t="n">
        <v>119040</v>
      </c>
      <c r="H51" s="16" t="n">
        <f aca="false">G51*0.4</f>
        <v>47616</v>
      </c>
      <c r="I51" s="16" t="n">
        <f aca="false">G51*0.12</f>
        <v>14284.8</v>
      </c>
      <c r="J51" s="16" t="n">
        <f aca="false">G51+H51</f>
        <v>166656</v>
      </c>
      <c r="K51" s="14" t="s">
        <v>73</v>
      </c>
      <c r="L51" s="17" t="n">
        <v>2</v>
      </c>
      <c r="M51" s="14" t="str">
        <f aca="false">IF(L51=5,"A+",IF(L51=4,"A",IF(L51=3,"B",IF(L51=2,"C","D"))))</f>
        <v>C</v>
      </c>
      <c r="N51" s="14" t="n">
        <f aca="true">DATEDIF(F51,TODAY(),"Y")</f>
        <v>10</v>
      </c>
    </row>
  </sheetData>
  <dataValidations count="2">
    <dataValidation allowBlank="false" errorStyle="stop" operator="between" prompt="Select employee status" promptTitle="Status" showDropDown="false" showErrorMessage="false" showInputMessage="false" sqref="K2:K51" type="list">
      <formula1>"Active,On Leave,Resigned"</formula1>
      <formula2>0</formula2>
    </dataValidation>
    <dataValidation allowBlank="false" errorStyle="stop" operator="between" prompt="Enter rating 1-5" promptTitle="Performance Rating" showDropDown="false" showErrorMessage="false" showInputMessage="false" sqref="L2:L51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8" min="3" style="0" width="12"/>
  </cols>
  <sheetData>
    <row r="1" customFormat="false" ht="31.5" hidden="false" customHeight="true" outlineLevel="0" collapsed="false">
      <c r="A1" s="18" t="s">
        <v>151</v>
      </c>
      <c r="B1" s="18"/>
      <c r="C1" s="18"/>
      <c r="D1" s="18"/>
      <c r="E1" s="18"/>
      <c r="F1" s="18"/>
      <c r="G1" s="18"/>
      <c r="H1" s="18"/>
    </row>
    <row r="3" customFormat="false" ht="15" hidden="false" customHeight="false" outlineLevel="0" collapsed="false">
      <c r="A3" s="19" t="s">
        <v>152</v>
      </c>
      <c r="B3" s="19"/>
      <c r="C3" s="19"/>
      <c r="D3" s="19"/>
      <c r="E3" s="19"/>
      <c r="F3" s="19"/>
      <c r="G3" s="19"/>
      <c r="H3" s="19"/>
    </row>
    <row r="4" customFormat="false" ht="15" hidden="false" customHeight="false" outlineLevel="0" collapsed="false">
      <c r="A4" s="20" t="s">
        <v>12</v>
      </c>
      <c r="B4" s="20" t="s">
        <v>153</v>
      </c>
      <c r="C4" s="20" t="s">
        <v>154</v>
      </c>
      <c r="D4" s="20" t="s">
        <v>155</v>
      </c>
      <c r="E4" s="20" t="s">
        <v>156</v>
      </c>
      <c r="F4" s="20" t="s">
        <v>157</v>
      </c>
    </row>
    <row r="5" customFormat="false" ht="15" hidden="false" customHeight="false" outlineLevel="0" collapsed="false">
      <c r="A5" s="21" t="s">
        <v>158</v>
      </c>
      <c r="B5" s="22" t="n">
        <v>5000</v>
      </c>
      <c r="C5" s="22" t="n">
        <v>4000</v>
      </c>
      <c r="D5" s="22" t="n">
        <v>3000</v>
      </c>
      <c r="E5" s="22" t="n">
        <v>2000</v>
      </c>
      <c r="F5" s="22" t="n">
        <v>1000</v>
      </c>
    </row>
    <row r="6" customFormat="false" ht="15" hidden="false" customHeight="false" outlineLevel="0" collapsed="false">
      <c r="A6" s="21" t="s">
        <v>159</v>
      </c>
      <c r="B6" s="22" t="n">
        <v>3000</v>
      </c>
      <c r="C6" s="22" t="n">
        <v>2500</v>
      </c>
      <c r="D6" s="22" t="n">
        <v>2000</v>
      </c>
      <c r="E6" s="22" t="n">
        <v>1500</v>
      </c>
      <c r="F6" s="22" t="n">
        <v>1000</v>
      </c>
    </row>
    <row r="7" customFormat="false" ht="15" hidden="false" customHeight="false" outlineLevel="0" collapsed="false">
      <c r="A7" s="21" t="s">
        <v>160</v>
      </c>
      <c r="B7" s="22" t="n">
        <v>20</v>
      </c>
      <c r="C7" s="22" t="n">
        <v>15</v>
      </c>
      <c r="D7" s="22" t="n">
        <v>10</v>
      </c>
      <c r="E7" s="22" t="n">
        <v>7</v>
      </c>
      <c r="F7" s="22" t="n">
        <v>5</v>
      </c>
    </row>
    <row r="9" customFormat="false" ht="15" hidden="false" customHeight="false" outlineLevel="0" collapsed="false">
      <c r="A9" s="23" t="s">
        <v>161</v>
      </c>
      <c r="B9" s="23"/>
      <c r="C9" s="23"/>
      <c r="D9" s="23"/>
      <c r="E9" s="23"/>
      <c r="F9" s="23"/>
      <c r="G9" s="23"/>
      <c r="H9" s="23"/>
    </row>
    <row r="10" customFormat="false" ht="15" hidden="false" customHeight="false" outlineLevel="0" collapsed="false">
      <c r="A10" s="0" t="s">
        <v>162</v>
      </c>
      <c r="B10" s="24" t="s">
        <v>14</v>
      </c>
    </row>
    <row r="11" customFormat="false" ht="15" hidden="false" customHeight="false" outlineLevel="0" collapsed="false">
      <c r="A11" s="25" t="s">
        <v>163</v>
      </c>
      <c r="B11" s="26" t="str">
        <f aca="false">IFERROR(VLOOKUP(B10,'Employee Database'!A2:B51,2,0),"Not Found")</f>
        <v>Raj Verma</v>
      </c>
    </row>
    <row r="12" customFormat="false" ht="15" hidden="false" customHeight="false" outlineLevel="0" collapsed="false">
      <c r="A12" s="25" t="s">
        <v>2</v>
      </c>
      <c r="B12" s="26" t="str">
        <f aca="false">IFERROR(VLOOKUP(B10,'Employee Database'!A2:C51,3,0),"N/A")</f>
        <v>HR</v>
      </c>
    </row>
    <row r="13" customFormat="false" ht="15" hidden="false" customHeight="false" outlineLevel="0" collapsed="false">
      <c r="A13" s="25" t="s">
        <v>3</v>
      </c>
      <c r="B13" s="26" t="str">
        <f aca="false">IFERROR(VLOOKUP(B10,'Employee Database'!A2:D51,4,0),"N/A")</f>
        <v>HR Manager</v>
      </c>
    </row>
    <row r="14" customFormat="false" ht="15" hidden="false" customHeight="false" outlineLevel="0" collapsed="false">
      <c r="A14" s="25" t="s">
        <v>6</v>
      </c>
      <c r="B14" s="27" t="n">
        <f aca="false">IFERROR(VLOOKUP(B10,'Employee Database'!A2:G51,7,0),0)</f>
        <v>64096</v>
      </c>
    </row>
    <row r="15" customFormat="false" ht="15" hidden="false" customHeight="false" outlineLevel="0" collapsed="false">
      <c r="A15" s="25" t="s">
        <v>12</v>
      </c>
      <c r="B15" s="26" t="str">
        <f aca="false">IFERROR(VLOOKUP(B10,'Employee Database'!A2:M51,13,0),"N/A")</f>
        <v>D</v>
      </c>
    </row>
    <row r="16" customFormat="false" ht="15" hidden="false" customHeight="false" outlineLevel="0" collapsed="false">
      <c r="A16" s="25" t="s">
        <v>164</v>
      </c>
      <c r="B16" s="26" t="n">
        <f aca="false">IFERROR(VLOOKUP(B10,'Employee Database'!A2:N51,14,0),"N/A")</f>
        <v>9</v>
      </c>
    </row>
    <row r="17" customFormat="false" ht="15" hidden="false" customHeight="false" outlineLevel="0" collapsed="false">
      <c r="A17" s="25" t="s">
        <v>158</v>
      </c>
      <c r="B17" s="27" t="n">
        <f aca="false">IFERROR(CHOOSE(MATCH(B15,{"A+","A","B","C","D"},0),5000,4000,3000,2000,1000),0)</f>
        <v>1000</v>
      </c>
    </row>
    <row r="18" customFormat="false" ht="15" hidden="false" customHeight="false" outlineLevel="0" collapsed="false">
      <c r="A18" s="25" t="s">
        <v>159</v>
      </c>
      <c r="B18" s="27" t="n">
        <f aca="false">IFERROR(CHOOSE(MATCH(B15,{"A+","A","B","C","D"},0),3000,2500,2000,1500,1000),0)</f>
        <v>1000</v>
      </c>
    </row>
    <row r="19" customFormat="false" ht="15" hidden="false" customHeight="false" outlineLevel="0" collapsed="false">
      <c r="A19" s="25" t="s">
        <v>165</v>
      </c>
      <c r="B19" s="27" t="n">
        <f aca="false">IFERROR(B14*CHOOSE(MATCH(B15,{"A+","A","B","C","D"},0),20,15,10,7,5)/100,0)</f>
        <v>3204.8</v>
      </c>
    </row>
    <row r="20" customFormat="false" ht="15" hidden="false" customHeight="false" outlineLevel="0" collapsed="false">
      <c r="A20" s="28" t="s">
        <v>166</v>
      </c>
      <c r="B20" s="29" t="n">
        <f aca="false">B14+B17+B18+B19</f>
        <v>69300.8</v>
      </c>
    </row>
  </sheetData>
  <mergeCells count="3">
    <mergeCell ref="A1:H1"/>
    <mergeCell ref="A3:H3"/>
    <mergeCell ref="A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6"/>
  </cols>
  <sheetData>
    <row r="1" customFormat="false" ht="30" hidden="false" customHeight="true" outlineLevel="0" collapsed="false">
      <c r="A1" s="18" t="s">
        <v>167</v>
      </c>
      <c r="B1" s="18"/>
      <c r="C1" s="18"/>
      <c r="D1" s="18"/>
      <c r="E1" s="18"/>
      <c r="F1" s="18"/>
    </row>
    <row r="3" customFormat="false" ht="15" hidden="false" customHeight="false" outlineLevel="0" collapsed="false">
      <c r="A3" s="20" t="s">
        <v>2</v>
      </c>
      <c r="B3" s="20" t="s">
        <v>168</v>
      </c>
      <c r="C3" s="20" t="s">
        <v>19</v>
      </c>
      <c r="D3" s="20" t="s">
        <v>169</v>
      </c>
      <c r="E3" s="20" t="s">
        <v>170</v>
      </c>
      <c r="F3" s="20" t="s">
        <v>171</v>
      </c>
    </row>
    <row r="4" customFormat="false" ht="15" hidden="false" customHeight="false" outlineLevel="0" collapsed="false">
      <c r="A4" s="30" t="s">
        <v>45</v>
      </c>
      <c r="B4" s="22" t="n">
        <f aca="false">COUNTIF('Employee Database'!C2:C51,A4)</f>
        <v>5</v>
      </c>
      <c r="C4" s="22" t="n">
        <f aca="false">COUNTIFS('Employee Database'!C2:C51,A4,'Employee Database'!K2:K51,"Active")</f>
        <v>2</v>
      </c>
      <c r="D4" s="31" t="n">
        <f aca="false">IFERROR(AVERAGEIF('Employee Database'!C2:C51,A4,'Employee Database'!G2:G51),0)</f>
        <v>98811.6</v>
      </c>
      <c r="E4" s="32" t="n">
        <f aca="false">IFERROR(AVERAGEIF('Employee Database'!C2:C51,A4,'Employee Database'!L2:L51),0)</f>
        <v>2.8</v>
      </c>
      <c r="F4" s="32" t="n">
        <f aca="false">IFERROR(AVERAGEIF('Employee Database'!C2:C51,A4,'Employee Database'!N2:N51),0)</f>
        <v>7.6</v>
      </c>
    </row>
    <row r="5" customFormat="false" ht="15" hidden="false" customHeight="false" outlineLevel="0" collapsed="false">
      <c r="A5" s="30" t="s">
        <v>63</v>
      </c>
      <c r="B5" s="33" t="n">
        <f aca="false">COUNTIF('Employee Database'!C2:C51,A5)</f>
        <v>8</v>
      </c>
      <c r="C5" s="33" t="n">
        <f aca="false">COUNTIFS('Employee Database'!C2:C51,A5,'Employee Database'!K2:K51,"Active")</f>
        <v>5</v>
      </c>
      <c r="D5" s="34" t="n">
        <f aca="false">IFERROR(AVERAGEIF('Employee Database'!C2:C51,A5,'Employee Database'!G2:G51),0)</f>
        <v>100572</v>
      </c>
      <c r="E5" s="35" t="n">
        <f aca="false">IFERROR(AVERAGEIF('Employee Database'!C2:C51,A5,'Employee Database'!L2:L51),0)</f>
        <v>3.25</v>
      </c>
      <c r="F5" s="35" t="n">
        <f aca="false">IFERROR(AVERAGEIF('Employee Database'!C2:C51,A5,'Employee Database'!N2:N51),0)</f>
        <v>5.625</v>
      </c>
    </row>
    <row r="6" customFormat="false" ht="15" hidden="false" customHeight="false" outlineLevel="0" collapsed="false">
      <c r="A6" s="30" t="s">
        <v>16</v>
      </c>
      <c r="B6" s="22" t="n">
        <f aca="false">COUNTIF('Employee Database'!C2:C51,A6)</f>
        <v>9</v>
      </c>
      <c r="C6" s="22" t="n">
        <f aca="false">COUNTIFS('Employee Database'!C2:C51,A6,'Employee Database'!K2:K51,"Active")</f>
        <v>6</v>
      </c>
      <c r="D6" s="31" t="n">
        <f aca="false">IFERROR(AVERAGEIF('Employee Database'!C2:C51,A6,'Employee Database'!G2:G51),0)</f>
        <v>86876.5555555556</v>
      </c>
      <c r="E6" s="32" t="n">
        <f aca="false">IFERROR(AVERAGEIF('Employee Database'!C2:C51,A6,'Employee Database'!L2:L51),0)</f>
        <v>3.44444444444444</v>
      </c>
      <c r="F6" s="32" t="n">
        <f aca="false">IFERROR(AVERAGEIF('Employee Database'!C2:C51,A6,'Employee Database'!N2:N51),0)</f>
        <v>7.44444444444445</v>
      </c>
    </row>
    <row r="7" customFormat="false" ht="15" hidden="false" customHeight="false" outlineLevel="0" collapsed="false">
      <c r="A7" s="30" t="s">
        <v>22</v>
      </c>
      <c r="B7" s="33" t="n">
        <f aca="false">COUNTIF('Employee Database'!C2:C51,A7)</f>
        <v>10</v>
      </c>
      <c r="C7" s="33" t="n">
        <f aca="false">COUNTIFS('Employee Database'!C2:C51,A7,'Employee Database'!K2:K51,"Active")</f>
        <v>9</v>
      </c>
      <c r="D7" s="34" t="n">
        <f aca="false">IFERROR(AVERAGEIF('Employee Database'!C2:C51,A7,'Employee Database'!G2:G51),0)</f>
        <v>105342.8</v>
      </c>
      <c r="E7" s="35" t="n">
        <f aca="false">IFERROR(AVERAGEIF('Employee Database'!C2:C51,A7,'Employee Database'!L2:L51),0)</f>
        <v>3.1</v>
      </c>
      <c r="F7" s="35" t="n">
        <f aca="false">IFERROR(AVERAGEIF('Employee Database'!C2:C51,A7,'Employee Database'!N2:N51),0)</f>
        <v>6.8</v>
      </c>
    </row>
    <row r="8" customFormat="false" ht="15" hidden="false" customHeight="false" outlineLevel="0" collapsed="false">
      <c r="A8" s="30" t="s">
        <v>26</v>
      </c>
      <c r="B8" s="22" t="n">
        <f aca="false">COUNTIF('Employee Database'!C2:C51,A8)</f>
        <v>12</v>
      </c>
      <c r="C8" s="22" t="n">
        <f aca="false">COUNTIFS('Employee Database'!C2:C51,A8,'Employee Database'!K2:K51,"Active")</f>
        <v>8</v>
      </c>
      <c r="D8" s="31" t="n">
        <f aca="false">IFERROR(AVERAGEIF('Employee Database'!C2:C51,A8,'Employee Database'!G2:G51),0)</f>
        <v>62798.75</v>
      </c>
      <c r="E8" s="32" t="n">
        <f aca="false">IFERROR(AVERAGEIF('Employee Database'!C2:C51,A8,'Employee Database'!L2:L51),0)</f>
        <v>2.58333333333333</v>
      </c>
      <c r="F8" s="32" t="n">
        <f aca="false">IFERROR(AVERAGEIF('Employee Database'!C2:C51,A8,'Employee Database'!N2:N51),0)</f>
        <v>7.83333333333333</v>
      </c>
    </row>
    <row r="9" customFormat="false" ht="15" hidden="false" customHeight="false" outlineLevel="0" collapsed="false">
      <c r="A9" s="30" t="s">
        <v>85</v>
      </c>
      <c r="B9" s="33" t="n">
        <f aca="false">COUNTIF('Employee Database'!C2:C51,A9)</f>
        <v>6</v>
      </c>
      <c r="C9" s="33" t="n">
        <f aca="false">COUNTIFS('Employee Database'!C2:C51,A9,'Employee Database'!K2:K51,"Active")</f>
        <v>5</v>
      </c>
      <c r="D9" s="34" t="n">
        <f aca="false">IFERROR(AVERAGEIF('Employee Database'!C2:C51,A9,'Employee Database'!G2:G51),0)</f>
        <v>88463.8333333333</v>
      </c>
      <c r="E9" s="35" t="n">
        <f aca="false">IFERROR(AVERAGEIF('Employee Database'!C2:C51,A9,'Employee Database'!L2:L51),0)</f>
        <v>2.83333333333333</v>
      </c>
      <c r="F9" s="35" t="n">
        <f aca="false">IFERROR(AVERAGEIF('Employee Database'!C2:C51,A9,'Employee Database'!N2:N51),0)</f>
        <v>7.16666666666667</v>
      </c>
    </row>
    <row r="10" customFormat="false" ht="15" hidden="false" customHeight="false" outlineLevel="0" collapsed="false">
      <c r="A10" s="36" t="s">
        <v>172</v>
      </c>
      <c r="B10" s="37" t="n">
        <f aca="false">SUM(B4:B9)</f>
        <v>50</v>
      </c>
      <c r="C10" s="37" t="n">
        <f aca="false">SUM(C4:C9)</f>
        <v>35</v>
      </c>
      <c r="D10" s="38" t="n">
        <f aca="false">AVERAGE(D4:D9)</f>
        <v>90477.5898148148</v>
      </c>
      <c r="E10" s="39" t="n">
        <f aca="false">AVERAGE(E4:E9)</f>
        <v>3.00185185185185</v>
      </c>
      <c r="F10" s="39" t="n">
        <f aca="false">AVERAGE(F4:F9)</f>
        <v>7.07824074074074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30" hidden="false" customHeight="true" outlineLevel="0" collapsed="false">
      <c r="A1" s="40" t="s">
        <v>173</v>
      </c>
      <c r="B1" s="40"/>
      <c r="C1" s="40"/>
    </row>
    <row r="3" customFormat="false" ht="499.5" hidden="false" customHeight="true" outlineLevel="0" collapsed="false">
      <c r="A3" s="41" t="s">
        <v>174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2026-06-09T04:50:19Z</dcterms:created>
  <dc:creator>openpyxl</dc:creator>
  <dc:description/>
  <dc:language>en-US</dc:language>
  <cp:lastModifiedBy/>
  <dcterms:modified xsi:type="dcterms:W3CDTF">2026-06-09T04:51:58Z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