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Pivot Summary" sheetId="2" state="visible" r:id="rId4"/>
    <sheet name="Dashboard" sheetId="3" state="visible" r:id="rId5"/>
    <sheet name="Lookup Tool" sheetId="4" state="visible" r:id="rId6"/>
    <sheet name="README" sheetId="5" state="visible" r:id="rId7"/>
    <sheet name="VBA Macros Co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<sst xmlns="http://schemas.openxmlformats.org/spreadsheetml/2006/main" count="1322" uniqueCount="85">
  <si>
    <t xml:space="preserve">SNo</t>
  </si>
  <si>
    <t xml:space="preserve">Month</t>
  </si>
  <si>
    <t xml:space="preserve">Quarter</t>
  </si>
  <si>
    <t xml:space="preserve">Region</t>
  </si>
  <si>
    <t xml:space="preserve">Manager</t>
  </si>
  <si>
    <t xml:space="preserve">Product</t>
  </si>
  <si>
    <t xml:space="preserve">Units Sold</t>
  </si>
  <si>
    <t xml:space="preserve">Unit Price</t>
  </si>
  <si>
    <t xml:space="preserve">Total Sales</t>
  </si>
  <si>
    <t xml:space="preserve">Target</t>
  </si>
  <si>
    <t xml:space="preserve">Achievement%</t>
  </si>
  <si>
    <t xml:space="preserve">Status</t>
  </si>
  <si>
    <t xml:space="preserve">Jan</t>
  </si>
  <si>
    <t xml:space="preserve">Q1</t>
  </si>
  <si>
    <t xml:space="preserve">North</t>
  </si>
  <si>
    <t xml:space="preserve">Ramesh Kumar</t>
  </si>
  <si>
    <t xml:space="preserve">Laptop</t>
  </si>
  <si>
    <t xml:space="preserve">Mobile</t>
  </si>
  <si>
    <t xml:space="preserve">Tablet</t>
  </si>
  <si>
    <t xml:space="preserve">Accessories</t>
  </si>
  <si>
    <t xml:space="preserve">Software</t>
  </si>
  <si>
    <t xml:space="preserve">South</t>
  </si>
  <si>
    <t xml:space="preserve">Priya Sharma</t>
  </si>
  <si>
    <t xml:space="preserve">East</t>
  </si>
  <si>
    <t xml:space="preserve">Sunil Verma</t>
  </si>
  <si>
    <t xml:space="preserve">West</t>
  </si>
  <si>
    <t xml:space="preserve">Anjali Singh</t>
  </si>
  <si>
    <t xml:space="preserve">Feb</t>
  </si>
  <si>
    <t xml:space="preserve">Mar</t>
  </si>
  <si>
    <t xml:space="preserve">Apr</t>
  </si>
  <si>
    <t xml:space="preserve">Q2</t>
  </si>
  <si>
    <t xml:space="preserve">May</t>
  </si>
  <si>
    <t xml:space="preserve">Jun</t>
  </si>
  <si>
    <t xml:space="preserve">Jul</t>
  </si>
  <si>
    <t xml:space="preserve">Q3</t>
  </si>
  <si>
    <t xml:space="preserve">Aug</t>
  </si>
  <si>
    <t xml:space="preserve">Sep</t>
  </si>
  <si>
    <t xml:space="preserve">Oct</t>
  </si>
  <si>
    <t xml:space="preserve">Q4</t>
  </si>
  <si>
    <t xml:space="preserve">Nov</t>
  </si>
  <si>
    <t xml:space="preserve">Dec</t>
  </si>
  <si>
    <t xml:space="preserve">📊 SALES PIVOT SUMMARY — FY 2024</t>
  </si>
  <si>
    <t xml:space="preserve">Region \ Product</t>
  </si>
  <si>
    <t xml:space="preserve">Grand Total</t>
  </si>
  <si>
    <t xml:space="preserve">📅 Monthly Sales Trend</t>
  </si>
  <si>
    <t xml:space="preserve">Total Target</t>
  </si>
  <si>
    <t xml:space="preserve">🏆  SALES PERFORMANCE DASHBOARD — FY 2024</t>
  </si>
  <si>
    <t xml:space="preserve">💰 Total Revenue</t>
  </si>
  <si>
    <t xml:space="preserve">🎯 Total Target</t>
  </si>
  <si>
    <t xml:space="preserve">📦 Units Sold</t>
  </si>
  <si>
    <t xml:space="preserve">✅ Achievement %</t>
  </si>
  <si>
    <t xml:space="preserve">Sales</t>
  </si>
  <si>
    <t xml:space="preserve">🔍 SALESPERSON LOOKUP TOOL  (VLOOKUP / HLOOKUP Demo)</t>
  </si>
  <si>
    <t xml:space="preserve">Rank</t>
  </si>
  <si>
    <t xml:space="preserve">🔎 VLOOKUP Interactive Demo</t>
  </si>
  <si>
    <t xml:space="preserve">Enter Region:</t>
  </si>
  <si>
    <t xml:space="preserve">Manager Name:</t>
  </si>
  <si>
    <t xml:space="preserve">Total Sales:</t>
  </si>
  <si>
    <t xml:space="preserve">Achievement %:</t>
  </si>
  <si>
    <t xml:space="preserve">Rank:</t>
  </si>
  <si>
    <t xml:space="preserve">📘 PROJECT GUIDE — SALES PERFORMANCE DASHBOARD</t>
  </si>
  <si>
    <t xml:space="preserve">📌 Project:</t>
  </si>
  <si>
    <t xml:space="preserve">Sales Performance Dashboard — FY 2024</t>
  </si>
  <si>
    <t xml:space="preserve">🛠 Skills Used:</t>
  </si>
  <si>
    <t xml:space="preserve">SUMIFS, VLOOKUP, RANK, IF, Pivot, Charts, Conditional Formatting, VBA</t>
  </si>
  <si>
    <t xml:space="preserve">📊 Sheets:</t>
  </si>
  <si>
    <t xml:space="preserve">Sales Data | Pivot Summary | Dashboard | Lookup Tool | README</t>
  </si>
  <si>
    <t xml:space="preserve">How to Use</t>
  </si>
  <si>
    <t xml:space="preserve">Step 1:</t>
  </si>
  <si>
    <t xml:space="preserve">Go to 'Sales Data' sheet to see raw data (240 rows)</t>
  </si>
  <si>
    <t xml:space="preserve">Step 2:</t>
  </si>
  <si>
    <t xml:space="preserve">Go to 'Pivot Summary' to see region × product breakdown &amp; monthly trend</t>
  </si>
  <si>
    <t xml:space="preserve">Step 3:</t>
  </si>
  <si>
    <t xml:space="preserve">Go to 'Dashboard' to see KPI cards and 3 interactive charts</t>
  </si>
  <si>
    <t xml:space="preserve">Step 4:</t>
  </si>
  <si>
    <t xml:space="preserve">Go to 'Lookup Tool' — type any region in yellow cell B11 to get dynamic VLOOKUP result</t>
  </si>
  <si>
    <t xml:space="preserve">📂 GitHub Upload Tips</t>
  </si>
  <si>
    <t xml:space="preserve">Tip 1:</t>
  </si>
  <si>
    <t xml:space="preserve">Upload .xlsm file (with macros) or .xlsx to your GitHub repo</t>
  </si>
  <si>
    <t xml:space="preserve">Tip 2:</t>
  </si>
  <si>
    <t xml:space="preserve">Add screenshots of Dashboard in your repo README.md</t>
  </si>
  <si>
    <t xml:space="preserve">Tip 3:</t>
  </si>
  <si>
    <t xml:space="preserve">Write 3-4 lines about what the project does in README.md</t>
  </si>
  <si>
    <t xml:space="preserve">💻 VBA Macros — Copy these into Excel VBA Editor (Alt+F11)</t>
  </si>
  <si>
    <t xml:space="preserve">
' ================================================================
' MACRO 1: Auto-Highlight Achieved Rows (Conditional Formatting)
' ================================================================
Sub HighlightAchieved()
    Dim ws As Worksheet
    Dim lastRow As Long
    Dim i As Long
    Set ws = ThisWorkbook.Sheets("Sales Data")
    lastRow = ws.Cells(ws.Rows.Count, "A").End(xlUp).Row
    For i = 2 To lastRow
        If ws.Cells(i, 12).Value = "✅ Achieved" Then
            ws.Rows(i).Interior.Color = RGB(198, 239, 206)  ' Light green
        ElseIf ws.Cells(i, 12).Value = "❌ Below Target" Then
            ws.Rows(i).Interior.Color = RGB(255, 199, 206)  ' Light red
        End If
    Next i
    MsgBox "Highlighting complete! " &amp; (lastRow - 1) &amp; " rows processed.", vbInformation
End Sub
' ================================================================
' MACRO 2: Export Dashboard to New Sheet as Snapshot
' ================================================================
Sub ExportSnapshot()
    Dim srcSheet As Worksheet
    Dim newSheet As Worksheet
    Set srcSheet = ThisWorkbook.Sheets("Dashboard")
    srcSheet.Copy After:=ThisWorkbook.Sheets(ThisWorkbook.Sheets.Count)
    Set newSheet = ThisWorkbook.Sheets(ThisWorkbook.Sheets.Count)
    newSheet.Name = "Snapshot_" &amp; Format(Now, "DDMMYYYY_HHMMSS")
    MsgBox "Snapshot created: " &amp; newSheet.Name, vbInformation
End Sub
' ================================================================
' MACRO 3: Clear &amp; Reset Lookup Tool
' ================================================================
Sub ResetLookup()
    Dim ws As Worksheet
    Set ws = ThisWorkbook.Sheets("Lookup Tool")
    ws.Range("B11").Value = "North"
    ws.Range("B11").Select
    MsgBox "Lookup reset to North!", vbInformation
End Sub
' ================================================================
' MACRO 4: Generate Quick Summary in MsgBox
' ================================================================
Sub QuickSummary()
    Dim ws As Worksheet
    Dim totalSales As Double
    Dim totalRows As Long
    Set ws = ThisWorkbook.Sheets("Sales Data")
    totalRows = ws.Cells(ws.Rows.Count, "A").End(xlUp).Row - 1
    totalSales = Application.WorksheetFunction.Sum(ws.Range("I2:I" &amp; totalRows + 1))
    Dim msg As String
    msg = "=== QUICK SUMMARY ===" &amp; Chr(10)
    msg = msg &amp; "Total Data Rows: " &amp; totalRows &amp; Chr(10)
    msg = msg &amp; "Total Revenue: Rs." &amp; Format(totalSales, "#,##0") &amp; Chr(10)
    msg = msg &amp; "Avg per Row: Rs." &amp; Format(totalSales / totalRows, "#,##0")
    MsgBox msg, vbInformation, "Sales Dashboard Summary"
End Sub
' ================================================================
' HOW TO USE THESE MACROS:
' 1. Open Excel file
' 2. Press Alt + F11 to open VBA Editor
' 3. Click Insert &gt; Module
' 4. Paste any macro above
' 5. Press F5 to run, or assign to a button
' ================================================================
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</si>
</sst>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.0%"/>
    <numFmt numFmtId="167" formatCode="#,##0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1F3864"/>
      <name val="Cambria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1"/>
      <color rgb="FF2E75B6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sz val="9"/>
      <name val="Courier Ne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0F4F8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ED7D31"/>
        <bgColor rgb="FFFF8080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F0F4F8"/>
        <bgColor rgb="FFF2F2F2"/>
      </patternFill>
    </fill>
    <fill>
      <patternFill patternType="solid">
        <fgColor rgb="FF70AD47"/>
        <bgColor rgb="FF9BBB59"/>
      </patternFill>
    </fill>
    <fill>
      <patternFill patternType="solid">
        <fgColor rgb="FFFFD700"/>
        <bgColor rgb="FFFFFF00"/>
      </patternFill>
    </fill>
    <fill>
      <patternFill patternType="solid">
        <fgColor rgb="FF7030A0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999FF"/>
      <rgbColor rgb="FFBE4B48"/>
      <rgbColor rgb="FFFFF2CC"/>
      <rgbColor rgb="FFF0F4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FFF99"/>
      <rgbColor rgb="FF99CCFF"/>
      <rgbColor rgb="FFFF99CC"/>
      <rgbColor rgb="FFCC99FF"/>
      <rgbColor rgb="FFD9D9D9"/>
      <rgbColor rgb="FF2E75B6"/>
      <rgbColor rgb="FF4BACC6"/>
      <rgbColor rgb="FF9BBB59"/>
      <rgbColor rgb="FFFFD700"/>
      <rgbColor rgb="FFFF9900"/>
      <rgbColor rgb="FFED7D31"/>
      <rgbColor rgb="FF8064A2"/>
      <rgbColor rgb="FF70AD47"/>
      <rgbColor rgb="FF1F3864"/>
      <rgbColor rgb="FF4A7EBB"/>
      <rgbColor rgb="FF003300"/>
      <rgbColor rgb="FF333300"/>
      <rgbColor rgb="FFC0504D"/>
      <rgbColor rgb="FF7030A0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Dashboard!$B$13:$B$16</c:f>
              <c:numCache>
                <c:formatCode>\₹#,##0</c:formatCode>
                <c:ptCount val="4"/>
                <c:pt idx="0">
                  <c:v>82725500</c:v>
                </c:pt>
                <c:pt idx="1">
                  <c:v>96758000</c:v>
                </c:pt>
                <c:pt idx="2">
                  <c:v>84025000</c:v>
                </c:pt>
                <c:pt idx="3">
                  <c:v>81760000</c:v>
                </c:pt>
              </c:numCache>
            </c:numRef>
          </c:val>
        </c:ser>
        <c:gapWidth val="150"/>
        <c:overlap val="0"/>
        <c:axId val="85710822"/>
        <c:axId val="35576726"/>
      </c:barChart>
      <c:catAx>
        <c:axId val="857108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76726"/>
        <c:crosses val="autoZero"/>
        <c:auto val="1"/>
        <c:lblAlgn val="ctr"/>
        <c:lblOffset val="100"/>
        <c:noMultiLvlLbl val="0"/>
      </c:catAx>
      <c:valAx>
        <c:axId val="35576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108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Dashboard!E12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Dashboard!$D$13:$D$24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Dashboard!$E$13:$E$24</c:f>
              <c:numCache>
                <c:formatCode>General</c:formatCode>
                <c:ptCount val="12"/>
                <c:pt idx="0">
                  <c:v>24170000</c:v>
                </c:pt>
                <c:pt idx="1">
                  <c:v>38295500</c:v>
                </c:pt>
                <c:pt idx="2">
                  <c:v>33968500</c:v>
                </c:pt>
                <c:pt idx="3">
                  <c:v>26555000</c:v>
                </c:pt>
                <c:pt idx="4">
                  <c:v>32262000</c:v>
                </c:pt>
                <c:pt idx="5">
                  <c:v>28885500</c:v>
                </c:pt>
                <c:pt idx="6">
                  <c:v>23281500</c:v>
                </c:pt>
                <c:pt idx="7">
                  <c:v>28213500</c:v>
                </c:pt>
                <c:pt idx="8">
                  <c:v>30877000</c:v>
                </c:pt>
                <c:pt idx="9">
                  <c:v>28316000</c:v>
                </c:pt>
                <c:pt idx="10">
                  <c:v>24840500</c:v>
                </c:pt>
                <c:pt idx="11">
                  <c:v>25603500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Dashboard!F12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Dashboard!$D$13:$D$24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Dashboard!$F$13:$F$24</c:f>
              <c:numCache>
                <c:formatCode>General</c:formatCode>
                <c:ptCount val="12"/>
                <c:pt idx="0">
                  <c:v>23538821</c:v>
                </c:pt>
                <c:pt idx="1">
                  <c:v>21711394</c:v>
                </c:pt>
                <c:pt idx="2">
                  <c:v>23718590</c:v>
                </c:pt>
                <c:pt idx="3">
                  <c:v>27990146</c:v>
                </c:pt>
                <c:pt idx="4">
                  <c:v>24997071</c:v>
                </c:pt>
                <c:pt idx="5">
                  <c:v>26731621</c:v>
                </c:pt>
                <c:pt idx="6">
                  <c:v>24976590</c:v>
                </c:pt>
                <c:pt idx="7">
                  <c:v>22187064</c:v>
                </c:pt>
                <c:pt idx="8">
                  <c:v>23544030</c:v>
                </c:pt>
                <c:pt idx="9">
                  <c:v>27718516</c:v>
                </c:pt>
                <c:pt idx="10">
                  <c:v>25317807</c:v>
                </c:pt>
                <c:pt idx="11">
                  <c:v>24607486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959589"/>
        <c:axId val="69508112"/>
      </c:lineChart>
      <c:catAx>
        <c:axId val="729595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08112"/>
        <c:crosses val="autoZero"/>
        <c:auto val="1"/>
        <c:lblAlgn val="ctr"/>
        <c:lblOffset val="100"/>
        <c:noMultiLvlLbl val="0"/>
      </c:catAx>
      <c:valAx>
        <c:axId val="69508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595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 Sales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Dashboard!I12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explosion val="1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Dashboard!$H$13:$H$17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Accessories</c:v>
                </c:pt>
                <c:pt idx="4">
                  <c:v>Software</c:v>
                </c:pt>
              </c:strCache>
            </c:strRef>
          </c:cat>
          <c:val>
            <c:numRef>
              <c:f>Dashboard!$I$13:$I$17</c:f>
              <c:numCache>
                <c:formatCode>General</c:formatCode>
                <c:ptCount val="5"/>
                <c:pt idx="0">
                  <c:v>157740000</c:v>
                </c:pt>
                <c:pt idx="1">
                  <c:v>49842000</c:v>
                </c:pt>
                <c:pt idx="2">
                  <c:v>94752000</c:v>
                </c:pt>
                <c:pt idx="3">
                  <c:v>9502500</c:v>
                </c:pt>
                <c:pt idx="4">
                  <c:v>33432000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7</xdr:col>
      <xdr:colOff>599040</xdr:colOff>
      <xdr:row>35</xdr:row>
      <xdr:rowOff>170640</xdr:rowOff>
    </xdr:to>
    <xdr:graphicFrame>
      <xdr:nvGraphicFramePr>
        <xdr:cNvPr id="0" name="Chart 1"/>
        <xdr:cNvGraphicFramePr/>
      </xdr:nvGraphicFramePr>
      <xdr:xfrm>
        <a:off x="0" y="3619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18</xdr:col>
      <xdr:colOff>50400</xdr:colOff>
      <xdr:row>35</xdr:row>
      <xdr:rowOff>170640</xdr:rowOff>
    </xdr:to>
    <xdr:graphicFrame>
      <xdr:nvGraphicFramePr>
        <xdr:cNvPr id="1" name="Chart 2"/>
        <xdr:cNvGraphicFramePr/>
      </xdr:nvGraphicFramePr>
      <xdr:xfrm>
        <a:off x="5709240" y="3619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7</xdr:col>
      <xdr:colOff>599040</xdr:colOff>
      <xdr:row>52</xdr:row>
      <xdr:rowOff>170640</xdr:rowOff>
    </xdr:to>
    <xdr:graphicFrame>
      <xdr:nvGraphicFramePr>
        <xdr:cNvPr id="2" name="Chart 3"/>
        <xdr:cNvGraphicFramePr/>
      </xdr:nvGraphicFramePr>
      <xdr:xfrm>
        <a:off x="0" y="68580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91</v>
      </c>
      <c r="H2" s="3" t="n">
        <v>55000</v>
      </c>
      <c r="I2" s="3" t="n">
        <f aca="false">G2*H2</f>
        <v>5005000</v>
      </c>
      <c r="J2" s="3" t="n">
        <v>733478</v>
      </c>
      <c r="K2" s="4" t="n">
        <f aca="false">IF(J2&gt;0,I2/J2,0)</f>
        <v>6.82365387918929</v>
      </c>
      <c r="L2" s="2" t="str">
        <f aca="false">IF(K2&gt;=1,"✅ Achieved","❌ Below Target")</f>
        <v>✅ Achieved</v>
      </c>
    </row>
    <row r="3" customFormat="false" ht="15" hidden="false" customHeight="false" outlineLevel="0" collapsed="false">
      <c r="A3" s="5" t="n">
        <v>2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17</v>
      </c>
      <c r="G3" s="5" t="n">
        <v>13</v>
      </c>
      <c r="H3" s="6" t="n">
        <v>18000</v>
      </c>
      <c r="I3" s="6" t="n">
        <f aca="false">G3*H3</f>
        <v>234000</v>
      </c>
      <c r="J3" s="6" t="n">
        <v>1076778</v>
      </c>
      <c r="K3" s="7" t="n">
        <f aca="false">IF(J3&gt;0,I3/J3,0)</f>
        <v>0.217314989719329</v>
      </c>
      <c r="L3" s="5" t="str">
        <f aca="false">IF(K3&gt;=1,"✅ Achieved","❌ Below Target")</f>
        <v>❌ Below Target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18</v>
      </c>
      <c r="G4" s="2" t="n">
        <v>41</v>
      </c>
      <c r="H4" s="3" t="n">
        <v>28000</v>
      </c>
      <c r="I4" s="3" t="n">
        <f aca="false">G4*H4</f>
        <v>1148000</v>
      </c>
      <c r="J4" s="3" t="n">
        <v>968106</v>
      </c>
      <c r="K4" s="4" t="n">
        <f aca="false">IF(J4&gt;0,I4/J4,0)</f>
        <v>1.18582056097163</v>
      </c>
      <c r="L4" s="2" t="str">
        <f aca="false">IF(K4&gt;=1,"✅ Achieved","❌ Below Target")</f>
        <v>✅ Achieved</v>
      </c>
    </row>
    <row r="5" customFormat="false" ht="15" hidden="false" customHeight="false" outlineLevel="0" collapsed="false">
      <c r="A5" s="5" t="n">
        <v>4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19</v>
      </c>
      <c r="G5" s="5" t="n">
        <v>27</v>
      </c>
      <c r="H5" s="6" t="n">
        <v>3500</v>
      </c>
      <c r="I5" s="6" t="n">
        <f aca="false">G5*H5</f>
        <v>94500</v>
      </c>
      <c r="J5" s="6" t="n">
        <v>714947</v>
      </c>
      <c r="K5" s="7" t="n">
        <f aca="false">IF(J5&gt;0,I5/J5,0)</f>
        <v>0.132177629950192</v>
      </c>
      <c r="L5" s="5" t="str">
        <f aca="false">IF(K5&gt;=1,"✅ Achieved","❌ Below Target")</f>
        <v>❌ Below Target</v>
      </c>
    </row>
    <row r="6" customFormat="false" ht="15" hidden="false" customHeight="false" outlineLevel="0" collapsed="false">
      <c r="A6" s="2" t="n">
        <v>5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20</v>
      </c>
      <c r="G6" s="2" t="n">
        <v>96</v>
      </c>
      <c r="H6" s="3" t="n">
        <v>12000</v>
      </c>
      <c r="I6" s="3" t="n">
        <f aca="false">G6*H6</f>
        <v>1152000</v>
      </c>
      <c r="J6" s="3" t="n">
        <v>1643716</v>
      </c>
      <c r="K6" s="4" t="n">
        <f aca="false">IF(J6&gt;0,I6/J6,0)</f>
        <v>0.700850998590997</v>
      </c>
      <c r="L6" s="2" t="str">
        <f aca="false">IF(K6&gt;=1,"✅ Achieved","❌ Below Target")</f>
        <v>❌ Below Target</v>
      </c>
    </row>
    <row r="7" customFormat="false" ht="15" hidden="false" customHeight="false" outlineLevel="0" collapsed="false">
      <c r="A7" s="5" t="n">
        <v>6</v>
      </c>
      <c r="B7" s="5" t="s">
        <v>12</v>
      </c>
      <c r="C7" s="5" t="s">
        <v>13</v>
      </c>
      <c r="D7" s="5" t="s">
        <v>21</v>
      </c>
      <c r="E7" s="5" t="s">
        <v>22</v>
      </c>
      <c r="F7" s="5" t="s">
        <v>16</v>
      </c>
      <c r="G7" s="5" t="n">
        <v>21</v>
      </c>
      <c r="H7" s="6" t="n">
        <v>55000</v>
      </c>
      <c r="I7" s="6" t="n">
        <f aca="false">G7*H7</f>
        <v>1155000</v>
      </c>
      <c r="J7" s="6" t="n">
        <v>1738352</v>
      </c>
      <c r="K7" s="7" t="n">
        <f aca="false">IF(J7&gt;0,I7/J7,0)</f>
        <v>0.66442239546421</v>
      </c>
      <c r="L7" s="5" t="str">
        <f aca="false">IF(K7&gt;=1,"✅ Achieved","❌ Below Target")</f>
        <v>❌ Below Target</v>
      </c>
    </row>
    <row r="8" customFormat="false" ht="15" hidden="false" customHeight="false" outlineLevel="0" collapsed="false">
      <c r="A8" s="2" t="n">
        <v>7</v>
      </c>
      <c r="B8" s="2" t="s">
        <v>12</v>
      </c>
      <c r="C8" s="2" t="s">
        <v>13</v>
      </c>
      <c r="D8" s="2" t="s">
        <v>21</v>
      </c>
      <c r="E8" s="2" t="s">
        <v>22</v>
      </c>
      <c r="F8" s="2" t="s">
        <v>17</v>
      </c>
      <c r="G8" s="2" t="n">
        <v>64</v>
      </c>
      <c r="H8" s="3" t="n">
        <v>18000</v>
      </c>
      <c r="I8" s="3" t="n">
        <f aca="false">G8*H8</f>
        <v>1152000</v>
      </c>
      <c r="J8" s="3" t="n">
        <v>566653</v>
      </c>
      <c r="K8" s="4" t="n">
        <f aca="false">IF(J8&gt;0,I8/J8,0)</f>
        <v>2.03299020741088</v>
      </c>
      <c r="L8" s="2" t="str">
        <f aca="false">IF(K8&gt;=1,"✅ Achieved","❌ Below Target")</f>
        <v>✅ Achieved</v>
      </c>
    </row>
    <row r="9" customFormat="false" ht="15" hidden="false" customHeight="false" outlineLevel="0" collapsed="false">
      <c r="A9" s="5" t="n">
        <v>8</v>
      </c>
      <c r="B9" s="5" t="s">
        <v>12</v>
      </c>
      <c r="C9" s="5" t="s">
        <v>13</v>
      </c>
      <c r="D9" s="5" t="s">
        <v>21</v>
      </c>
      <c r="E9" s="5" t="s">
        <v>22</v>
      </c>
      <c r="F9" s="5" t="s">
        <v>18</v>
      </c>
      <c r="G9" s="5" t="n">
        <v>13</v>
      </c>
      <c r="H9" s="6" t="n">
        <v>28000</v>
      </c>
      <c r="I9" s="6" t="n">
        <f aca="false">G9*H9</f>
        <v>364000</v>
      </c>
      <c r="J9" s="6" t="n">
        <v>696493</v>
      </c>
      <c r="K9" s="7" t="n">
        <f aca="false">IF(J9&gt;0,I9/J9,0)</f>
        <v>0.522618317772038</v>
      </c>
      <c r="L9" s="5" t="str">
        <f aca="false">IF(K9&gt;=1,"✅ Achieved","❌ Below Target")</f>
        <v>❌ Below Target</v>
      </c>
    </row>
    <row r="10" customFormat="false" ht="15" hidden="false" customHeight="false" outlineLevel="0" collapsed="false">
      <c r="A10" s="2" t="n">
        <v>9</v>
      </c>
      <c r="B10" s="2" t="s">
        <v>12</v>
      </c>
      <c r="C10" s="2" t="s">
        <v>13</v>
      </c>
      <c r="D10" s="2" t="s">
        <v>21</v>
      </c>
      <c r="E10" s="2" t="s">
        <v>22</v>
      </c>
      <c r="F10" s="2" t="s">
        <v>19</v>
      </c>
      <c r="G10" s="2" t="n">
        <v>37</v>
      </c>
      <c r="H10" s="3" t="n">
        <v>3500</v>
      </c>
      <c r="I10" s="3" t="n">
        <f aca="false">G10*H10</f>
        <v>129500</v>
      </c>
      <c r="J10" s="3" t="n">
        <v>987925</v>
      </c>
      <c r="K10" s="4" t="n">
        <f aca="false">IF(J10&gt;0,I10/J10,0)</f>
        <v>0.131082825113242</v>
      </c>
      <c r="L10" s="2" t="str">
        <f aca="false">IF(K10&gt;=1,"✅ Achieved","❌ Below Target")</f>
        <v>❌ Below Target</v>
      </c>
    </row>
    <row r="11" customFormat="false" ht="15" hidden="false" customHeight="false" outlineLevel="0" collapsed="false">
      <c r="A11" s="5" t="n">
        <v>10</v>
      </c>
      <c r="B11" s="5" t="s">
        <v>12</v>
      </c>
      <c r="C11" s="5" t="s">
        <v>13</v>
      </c>
      <c r="D11" s="5" t="s">
        <v>21</v>
      </c>
      <c r="E11" s="5" t="s">
        <v>22</v>
      </c>
      <c r="F11" s="5" t="s">
        <v>20</v>
      </c>
      <c r="G11" s="5" t="n">
        <v>74</v>
      </c>
      <c r="H11" s="6" t="n">
        <v>12000</v>
      </c>
      <c r="I11" s="6" t="n">
        <f aca="false">G11*H11</f>
        <v>888000</v>
      </c>
      <c r="J11" s="6" t="n">
        <v>1762524</v>
      </c>
      <c r="K11" s="7" t="n">
        <f aca="false">IF(J11&gt;0,I11/J11,0)</f>
        <v>0.503822926666531</v>
      </c>
      <c r="L11" s="5" t="str">
        <f aca="false">IF(K11&gt;=1,"✅ Achieved","❌ Below Target")</f>
        <v>❌ Below Target</v>
      </c>
    </row>
    <row r="12" customFormat="false" ht="15" hidden="false" customHeight="false" outlineLevel="0" collapsed="false">
      <c r="A12" s="2" t="n">
        <v>11</v>
      </c>
      <c r="B12" s="2" t="s">
        <v>12</v>
      </c>
      <c r="C12" s="2" t="s">
        <v>13</v>
      </c>
      <c r="D12" s="2" t="s">
        <v>23</v>
      </c>
      <c r="E12" s="2" t="s">
        <v>24</v>
      </c>
      <c r="F12" s="2" t="s">
        <v>16</v>
      </c>
      <c r="G12" s="2" t="n">
        <v>13</v>
      </c>
      <c r="H12" s="3" t="n">
        <v>55000</v>
      </c>
      <c r="I12" s="3" t="n">
        <f aca="false">G12*H12</f>
        <v>715000</v>
      </c>
      <c r="J12" s="3" t="n">
        <v>1677016</v>
      </c>
      <c r="K12" s="4" t="n">
        <f aca="false">IF(J12&gt;0,I12/J12,0)</f>
        <v>0.426352521383219</v>
      </c>
      <c r="L12" s="2" t="str">
        <f aca="false">IF(K12&gt;=1,"✅ Achieved","❌ Below Target")</f>
        <v>❌ Below Target</v>
      </c>
    </row>
    <row r="13" customFormat="false" ht="15" hidden="false" customHeight="false" outlineLevel="0" collapsed="false">
      <c r="A13" s="5" t="n">
        <v>12</v>
      </c>
      <c r="B13" s="5" t="s">
        <v>12</v>
      </c>
      <c r="C13" s="5" t="s">
        <v>13</v>
      </c>
      <c r="D13" s="5" t="s">
        <v>23</v>
      </c>
      <c r="E13" s="5" t="s">
        <v>24</v>
      </c>
      <c r="F13" s="5" t="s">
        <v>17</v>
      </c>
      <c r="G13" s="5" t="n">
        <v>35</v>
      </c>
      <c r="H13" s="6" t="n">
        <v>18000</v>
      </c>
      <c r="I13" s="6" t="n">
        <f aca="false">G13*H13</f>
        <v>630000</v>
      </c>
      <c r="J13" s="6" t="n">
        <v>1862906</v>
      </c>
      <c r="K13" s="7" t="n">
        <f aca="false">IF(J13&gt;0,I13/J13,0)</f>
        <v>0.338181314569817</v>
      </c>
      <c r="L13" s="5" t="str">
        <f aca="false">IF(K13&gt;=1,"✅ Achieved","❌ Below Target")</f>
        <v>❌ Below Target</v>
      </c>
    </row>
    <row r="14" customFormat="false" ht="15" hidden="false" customHeight="false" outlineLevel="0" collapsed="false">
      <c r="A14" s="2" t="n">
        <v>13</v>
      </c>
      <c r="B14" s="2" t="s">
        <v>12</v>
      </c>
      <c r="C14" s="2" t="s">
        <v>13</v>
      </c>
      <c r="D14" s="2" t="s">
        <v>23</v>
      </c>
      <c r="E14" s="2" t="s">
        <v>24</v>
      </c>
      <c r="F14" s="2" t="s">
        <v>18</v>
      </c>
      <c r="G14" s="2" t="n">
        <v>99</v>
      </c>
      <c r="H14" s="3" t="n">
        <v>28000</v>
      </c>
      <c r="I14" s="3" t="n">
        <f aca="false">G14*H14</f>
        <v>2772000</v>
      </c>
      <c r="J14" s="3" t="n">
        <v>1642825</v>
      </c>
      <c r="K14" s="4" t="n">
        <f aca="false">IF(J14&gt;0,I14/J14,0)</f>
        <v>1.68733736094837</v>
      </c>
      <c r="L14" s="2" t="str">
        <f aca="false">IF(K14&gt;=1,"✅ Achieved","❌ Below Target")</f>
        <v>✅ Achieved</v>
      </c>
    </row>
    <row r="15" customFormat="false" ht="15" hidden="false" customHeight="false" outlineLevel="0" collapsed="false">
      <c r="A15" s="5" t="n">
        <v>14</v>
      </c>
      <c r="B15" s="5" t="s">
        <v>12</v>
      </c>
      <c r="C15" s="5" t="s">
        <v>13</v>
      </c>
      <c r="D15" s="5" t="s">
        <v>23</v>
      </c>
      <c r="E15" s="5" t="s">
        <v>24</v>
      </c>
      <c r="F15" s="5" t="s">
        <v>19</v>
      </c>
      <c r="G15" s="5" t="n">
        <v>63</v>
      </c>
      <c r="H15" s="6" t="n">
        <v>3500</v>
      </c>
      <c r="I15" s="6" t="n">
        <f aca="false">G15*H15</f>
        <v>220500</v>
      </c>
      <c r="J15" s="6" t="n">
        <v>962297</v>
      </c>
      <c r="K15" s="7" t="n">
        <f aca="false">IF(J15&gt;0,I15/J15,0)</f>
        <v>0.229139236639</v>
      </c>
      <c r="L15" s="5" t="str">
        <f aca="false">IF(K15&gt;=1,"✅ Achieved","❌ Below Target")</f>
        <v>❌ Below Target</v>
      </c>
    </row>
    <row r="16" customFormat="false" ht="15" hidden="false" customHeight="false" outlineLevel="0" collapsed="false">
      <c r="A16" s="2" t="n">
        <v>15</v>
      </c>
      <c r="B16" s="2" t="s">
        <v>12</v>
      </c>
      <c r="C16" s="2" t="s">
        <v>13</v>
      </c>
      <c r="D16" s="2" t="s">
        <v>23</v>
      </c>
      <c r="E16" s="2" t="s">
        <v>24</v>
      </c>
      <c r="F16" s="2" t="s">
        <v>20</v>
      </c>
      <c r="G16" s="2" t="n">
        <v>67</v>
      </c>
      <c r="H16" s="3" t="n">
        <v>12000</v>
      </c>
      <c r="I16" s="3" t="n">
        <f aca="false">G16*H16</f>
        <v>804000</v>
      </c>
      <c r="J16" s="3" t="n">
        <v>1735779</v>
      </c>
      <c r="K16" s="4" t="n">
        <f aca="false">IF(J16&gt;0,I16/J16,0)</f>
        <v>0.463192606892928</v>
      </c>
      <c r="L16" s="2" t="str">
        <f aca="false">IF(K16&gt;=1,"✅ Achieved","❌ Below Target")</f>
        <v>❌ Below Target</v>
      </c>
    </row>
    <row r="17" customFormat="false" ht="15" hidden="false" customHeight="false" outlineLevel="0" collapsed="false">
      <c r="A17" s="5" t="n">
        <v>16</v>
      </c>
      <c r="B17" s="5" t="s">
        <v>12</v>
      </c>
      <c r="C17" s="5" t="s">
        <v>13</v>
      </c>
      <c r="D17" s="5" t="s">
        <v>25</v>
      </c>
      <c r="E17" s="5" t="s">
        <v>26</v>
      </c>
      <c r="F17" s="5" t="s">
        <v>16</v>
      </c>
      <c r="G17" s="5" t="n">
        <v>45</v>
      </c>
      <c r="H17" s="6" t="n">
        <v>55000</v>
      </c>
      <c r="I17" s="6" t="n">
        <f aca="false">G17*H17</f>
        <v>2475000</v>
      </c>
      <c r="J17" s="6" t="n">
        <v>513628</v>
      </c>
      <c r="K17" s="7" t="n">
        <f aca="false">IF(J17&gt;0,I17/J17,0)</f>
        <v>4.818662533974</v>
      </c>
      <c r="L17" s="5" t="str">
        <f aca="false">IF(K17&gt;=1,"✅ Achieved","❌ Below Target")</f>
        <v>✅ Achieved</v>
      </c>
    </row>
    <row r="18" customFormat="false" ht="15" hidden="false" customHeight="false" outlineLevel="0" collapsed="false">
      <c r="A18" s="2" t="n">
        <v>17</v>
      </c>
      <c r="B18" s="2" t="s">
        <v>12</v>
      </c>
      <c r="C18" s="2" t="s">
        <v>13</v>
      </c>
      <c r="D18" s="2" t="s">
        <v>25</v>
      </c>
      <c r="E18" s="2" t="s">
        <v>26</v>
      </c>
      <c r="F18" s="2" t="s">
        <v>17</v>
      </c>
      <c r="G18" s="2" t="n">
        <v>107</v>
      </c>
      <c r="H18" s="3" t="n">
        <v>18000</v>
      </c>
      <c r="I18" s="3" t="n">
        <f aca="false">G18*H18</f>
        <v>1926000</v>
      </c>
      <c r="J18" s="3" t="n">
        <v>834829</v>
      </c>
      <c r="K18" s="4" t="n">
        <f aca="false">IF(J18&gt;0,I18/J18,0)</f>
        <v>2.30705928998633</v>
      </c>
      <c r="L18" s="2" t="str">
        <f aca="false">IF(K18&gt;=1,"✅ Achieved","❌ Below Target")</f>
        <v>✅ Achieved</v>
      </c>
    </row>
    <row r="19" customFormat="false" ht="15" hidden="false" customHeight="false" outlineLevel="0" collapsed="false">
      <c r="A19" s="5" t="n">
        <v>18</v>
      </c>
      <c r="B19" s="5" t="s">
        <v>12</v>
      </c>
      <c r="C19" s="5" t="s">
        <v>13</v>
      </c>
      <c r="D19" s="5" t="s">
        <v>25</v>
      </c>
      <c r="E19" s="5" t="s">
        <v>26</v>
      </c>
      <c r="F19" s="5" t="s">
        <v>18</v>
      </c>
      <c r="G19" s="5" t="n">
        <v>99</v>
      </c>
      <c r="H19" s="6" t="n">
        <v>28000</v>
      </c>
      <c r="I19" s="6" t="n">
        <f aca="false">G19*H19</f>
        <v>2772000</v>
      </c>
      <c r="J19" s="6" t="n">
        <v>1386286</v>
      </c>
      <c r="K19" s="7" t="n">
        <f aca="false">IF(J19&gt;0,I19/J19,0)</f>
        <v>1.99958738672972</v>
      </c>
      <c r="L19" s="5" t="str">
        <f aca="false">IF(K19&gt;=1,"✅ Achieved","❌ Below Target")</f>
        <v>✅ Achieved</v>
      </c>
    </row>
    <row r="20" customFormat="false" ht="15" hidden="false" customHeight="false" outlineLevel="0" collapsed="false">
      <c r="A20" s="2" t="n">
        <v>19</v>
      </c>
      <c r="B20" s="2" t="s">
        <v>12</v>
      </c>
      <c r="C20" s="2" t="s">
        <v>13</v>
      </c>
      <c r="D20" s="2" t="s">
        <v>25</v>
      </c>
      <c r="E20" s="2" t="s">
        <v>26</v>
      </c>
      <c r="F20" s="2" t="s">
        <v>19</v>
      </c>
      <c r="G20" s="2" t="n">
        <v>53</v>
      </c>
      <c r="H20" s="3" t="n">
        <v>3500</v>
      </c>
      <c r="I20" s="3" t="n">
        <f aca="false">G20*H20</f>
        <v>185500</v>
      </c>
      <c r="J20" s="3" t="n">
        <v>1082738</v>
      </c>
      <c r="K20" s="4" t="n">
        <f aca="false">IF(J20&gt;0,I20/J20,0)</f>
        <v>0.171324918863104</v>
      </c>
      <c r="L20" s="2" t="str">
        <f aca="false">IF(K20&gt;=1,"✅ Achieved","❌ Below Target")</f>
        <v>❌ Below Target</v>
      </c>
    </row>
    <row r="21" customFormat="false" ht="15" hidden="false" customHeight="false" outlineLevel="0" collapsed="false">
      <c r="A21" s="5" t="n">
        <v>20</v>
      </c>
      <c r="B21" s="5" t="s">
        <v>12</v>
      </c>
      <c r="C21" s="5" t="s">
        <v>13</v>
      </c>
      <c r="D21" s="5" t="s">
        <v>25</v>
      </c>
      <c r="E21" s="5" t="s">
        <v>26</v>
      </c>
      <c r="F21" s="5" t="s">
        <v>20</v>
      </c>
      <c r="G21" s="5" t="n">
        <v>29</v>
      </c>
      <c r="H21" s="6" t="n">
        <v>12000</v>
      </c>
      <c r="I21" s="6" t="n">
        <f aca="false">G21*H21</f>
        <v>348000</v>
      </c>
      <c r="J21" s="6" t="n">
        <v>951545</v>
      </c>
      <c r="K21" s="7" t="n">
        <f aca="false">IF(J21&gt;0,I21/J21,0)</f>
        <v>0.365721011617948</v>
      </c>
      <c r="L21" s="5" t="str">
        <f aca="false">IF(K21&gt;=1,"✅ Achieved","❌ Below Target")</f>
        <v>❌ Below Target</v>
      </c>
    </row>
    <row r="22" customFormat="false" ht="15" hidden="false" customHeight="false" outlineLevel="0" collapsed="false">
      <c r="A22" s="2" t="n">
        <v>21</v>
      </c>
      <c r="B22" s="2" t="s">
        <v>27</v>
      </c>
      <c r="C22" s="2" t="s">
        <v>13</v>
      </c>
      <c r="D22" s="2" t="s">
        <v>14</v>
      </c>
      <c r="E22" s="2" t="s">
        <v>15</v>
      </c>
      <c r="F22" s="2" t="s">
        <v>16</v>
      </c>
      <c r="G22" s="2" t="n">
        <v>107</v>
      </c>
      <c r="H22" s="3" t="n">
        <v>55000</v>
      </c>
      <c r="I22" s="3" t="n">
        <f aca="false">G22*H22</f>
        <v>5885000</v>
      </c>
      <c r="J22" s="3" t="n">
        <v>1205889</v>
      </c>
      <c r="K22" s="4" t="n">
        <f aca="false">IF(J22&gt;0,I22/J22,0)</f>
        <v>4.88021700173067</v>
      </c>
      <c r="L22" s="2" t="str">
        <f aca="false">IF(K22&gt;=1,"✅ Achieved","❌ Below Target")</f>
        <v>✅ Achieved</v>
      </c>
    </row>
    <row r="23" customFormat="false" ht="15" hidden="false" customHeight="false" outlineLevel="0" collapsed="false">
      <c r="A23" s="5" t="n">
        <v>22</v>
      </c>
      <c r="B23" s="5" t="s">
        <v>27</v>
      </c>
      <c r="C23" s="5" t="s">
        <v>13</v>
      </c>
      <c r="D23" s="5" t="s">
        <v>14</v>
      </c>
      <c r="E23" s="5" t="s">
        <v>15</v>
      </c>
      <c r="F23" s="5" t="s">
        <v>17</v>
      </c>
      <c r="G23" s="5" t="n">
        <v>23</v>
      </c>
      <c r="H23" s="6" t="n">
        <v>18000</v>
      </c>
      <c r="I23" s="6" t="n">
        <f aca="false">G23*H23</f>
        <v>414000</v>
      </c>
      <c r="J23" s="6" t="n">
        <v>694502</v>
      </c>
      <c r="K23" s="7" t="n">
        <f aca="false">IF(J23&gt;0,I23/J23,0)</f>
        <v>0.59611059435394</v>
      </c>
      <c r="L23" s="5" t="str">
        <f aca="false">IF(K23&gt;=1,"✅ Achieved","❌ Below Target")</f>
        <v>❌ Below Target</v>
      </c>
    </row>
    <row r="24" customFormat="false" ht="15" hidden="false" customHeight="false" outlineLevel="0" collapsed="false">
      <c r="A24" s="2" t="n">
        <v>23</v>
      </c>
      <c r="B24" s="2" t="s">
        <v>27</v>
      </c>
      <c r="C24" s="2" t="s">
        <v>13</v>
      </c>
      <c r="D24" s="2" t="s">
        <v>14</v>
      </c>
      <c r="E24" s="2" t="s">
        <v>15</v>
      </c>
      <c r="F24" s="2" t="s">
        <v>18</v>
      </c>
      <c r="G24" s="2" t="n">
        <v>58</v>
      </c>
      <c r="H24" s="3" t="n">
        <v>28000</v>
      </c>
      <c r="I24" s="3" t="n">
        <f aca="false">G24*H24</f>
        <v>1624000</v>
      </c>
      <c r="J24" s="3" t="n">
        <v>702828</v>
      </c>
      <c r="K24" s="4" t="n">
        <f aca="false">IF(J24&gt;0,I24/J24,0)</f>
        <v>2.31066491374846</v>
      </c>
      <c r="L24" s="2" t="str">
        <f aca="false">IF(K24&gt;=1,"✅ Achieved","❌ Below Target")</f>
        <v>✅ Achieved</v>
      </c>
    </row>
    <row r="25" customFormat="false" ht="15" hidden="false" customHeight="false" outlineLevel="0" collapsed="false">
      <c r="A25" s="5" t="n">
        <v>24</v>
      </c>
      <c r="B25" s="5" t="s">
        <v>27</v>
      </c>
      <c r="C25" s="5" t="s">
        <v>13</v>
      </c>
      <c r="D25" s="5" t="s">
        <v>14</v>
      </c>
      <c r="E25" s="5" t="s">
        <v>15</v>
      </c>
      <c r="F25" s="5" t="s">
        <v>19</v>
      </c>
      <c r="G25" s="5" t="n">
        <v>55</v>
      </c>
      <c r="H25" s="6" t="n">
        <v>3500</v>
      </c>
      <c r="I25" s="6" t="n">
        <f aca="false">G25*H25</f>
        <v>192500</v>
      </c>
      <c r="J25" s="6" t="n">
        <v>1221327</v>
      </c>
      <c r="K25" s="7" t="n">
        <f aca="false">IF(J25&gt;0,I25/J25,0)</f>
        <v>0.157615446149966</v>
      </c>
      <c r="L25" s="5" t="str">
        <f aca="false">IF(K25&gt;=1,"✅ Achieved","❌ Below Target")</f>
        <v>❌ Below Target</v>
      </c>
    </row>
    <row r="26" customFormat="false" ht="15" hidden="false" customHeight="false" outlineLevel="0" collapsed="false">
      <c r="A26" s="2" t="n">
        <v>25</v>
      </c>
      <c r="B26" s="2" t="s">
        <v>27</v>
      </c>
      <c r="C26" s="2" t="s">
        <v>13</v>
      </c>
      <c r="D26" s="2" t="s">
        <v>14</v>
      </c>
      <c r="E26" s="2" t="s">
        <v>15</v>
      </c>
      <c r="F26" s="2" t="s">
        <v>20</v>
      </c>
      <c r="G26" s="2" t="n">
        <v>87</v>
      </c>
      <c r="H26" s="3" t="n">
        <v>12000</v>
      </c>
      <c r="I26" s="3" t="n">
        <f aca="false">G26*H26</f>
        <v>1044000</v>
      </c>
      <c r="J26" s="3" t="n">
        <v>1054740</v>
      </c>
      <c r="K26" s="4" t="n">
        <f aca="false">IF(J26&gt;0,I26/J26,0)</f>
        <v>0.9898173957563</v>
      </c>
      <c r="L26" s="2" t="str">
        <f aca="false">IF(K26&gt;=1,"✅ Achieved","❌ Below Target")</f>
        <v>❌ Below Target</v>
      </c>
    </row>
    <row r="27" customFormat="false" ht="15" hidden="false" customHeight="false" outlineLevel="0" collapsed="false">
      <c r="A27" s="5" t="n">
        <v>26</v>
      </c>
      <c r="B27" s="5" t="s">
        <v>27</v>
      </c>
      <c r="C27" s="5" t="s">
        <v>13</v>
      </c>
      <c r="D27" s="5" t="s">
        <v>21</v>
      </c>
      <c r="E27" s="5" t="s">
        <v>22</v>
      </c>
      <c r="F27" s="5" t="s">
        <v>16</v>
      </c>
      <c r="G27" s="5" t="n">
        <v>113</v>
      </c>
      <c r="H27" s="6" t="n">
        <v>55000</v>
      </c>
      <c r="I27" s="6" t="n">
        <f aca="false">G27*H27</f>
        <v>6215000</v>
      </c>
      <c r="J27" s="6" t="n">
        <v>591122</v>
      </c>
      <c r="K27" s="7" t="n">
        <f aca="false">IF(J27&gt;0,I27/J27,0)</f>
        <v>10.5139040671807</v>
      </c>
      <c r="L27" s="5" t="str">
        <f aca="false">IF(K27&gt;=1,"✅ Achieved","❌ Below Target")</f>
        <v>✅ Achieved</v>
      </c>
    </row>
    <row r="28" customFormat="false" ht="15" hidden="false" customHeight="false" outlineLevel="0" collapsed="false">
      <c r="A28" s="2" t="n">
        <v>27</v>
      </c>
      <c r="B28" s="2" t="s">
        <v>27</v>
      </c>
      <c r="C28" s="2" t="s">
        <v>13</v>
      </c>
      <c r="D28" s="2" t="s">
        <v>21</v>
      </c>
      <c r="E28" s="2" t="s">
        <v>22</v>
      </c>
      <c r="F28" s="2" t="s">
        <v>17</v>
      </c>
      <c r="G28" s="2" t="n">
        <v>103</v>
      </c>
      <c r="H28" s="3" t="n">
        <v>18000</v>
      </c>
      <c r="I28" s="3" t="n">
        <f aca="false">G28*H28</f>
        <v>1854000</v>
      </c>
      <c r="J28" s="3" t="n">
        <v>1463483</v>
      </c>
      <c r="K28" s="4" t="n">
        <f aca="false">IF(J28&gt;0,I28/J28,0)</f>
        <v>1.26684081741981</v>
      </c>
      <c r="L28" s="2" t="str">
        <f aca="false">IF(K28&gt;=1,"✅ Achieved","❌ Below Target")</f>
        <v>✅ Achieved</v>
      </c>
    </row>
    <row r="29" customFormat="false" ht="15" hidden="false" customHeight="false" outlineLevel="0" collapsed="false">
      <c r="A29" s="5" t="n">
        <v>28</v>
      </c>
      <c r="B29" s="5" t="s">
        <v>27</v>
      </c>
      <c r="C29" s="5" t="s">
        <v>13</v>
      </c>
      <c r="D29" s="5" t="s">
        <v>21</v>
      </c>
      <c r="E29" s="5" t="s">
        <v>22</v>
      </c>
      <c r="F29" s="5" t="s">
        <v>18</v>
      </c>
      <c r="G29" s="5" t="n">
        <v>78</v>
      </c>
      <c r="H29" s="6" t="n">
        <v>28000</v>
      </c>
      <c r="I29" s="6" t="n">
        <f aca="false">G29*H29</f>
        <v>2184000</v>
      </c>
      <c r="J29" s="6" t="n">
        <v>761779</v>
      </c>
      <c r="K29" s="7" t="n">
        <f aca="false">IF(J29&gt;0,I29/J29,0)</f>
        <v>2.86697322976874</v>
      </c>
      <c r="L29" s="5" t="str">
        <f aca="false">IF(K29&gt;=1,"✅ Achieved","❌ Below Target")</f>
        <v>✅ Achieved</v>
      </c>
    </row>
    <row r="30" customFormat="false" ht="15" hidden="false" customHeight="false" outlineLevel="0" collapsed="false">
      <c r="A30" s="2" t="n">
        <v>29</v>
      </c>
      <c r="B30" s="2" t="s">
        <v>27</v>
      </c>
      <c r="C30" s="2" t="s">
        <v>13</v>
      </c>
      <c r="D30" s="2" t="s">
        <v>21</v>
      </c>
      <c r="E30" s="2" t="s">
        <v>22</v>
      </c>
      <c r="F30" s="2" t="s">
        <v>19</v>
      </c>
      <c r="G30" s="2" t="n">
        <v>58</v>
      </c>
      <c r="H30" s="3" t="n">
        <v>3500</v>
      </c>
      <c r="I30" s="3" t="n">
        <f aca="false">G30*H30</f>
        <v>203000</v>
      </c>
      <c r="J30" s="3" t="n">
        <v>665255</v>
      </c>
      <c r="K30" s="4" t="n">
        <f aca="false">IF(J30&gt;0,I30/J30,0)</f>
        <v>0.305146146966201</v>
      </c>
      <c r="L30" s="2" t="str">
        <f aca="false">IF(K30&gt;=1,"✅ Achieved","❌ Below Target")</f>
        <v>❌ Below Target</v>
      </c>
    </row>
    <row r="31" customFormat="false" ht="15" hidden="false" customHeight="false" outlineLevel="0" collapsed="false">
      <c r="A31" s="5" t="n">
        <v>30</v>
      </c>
      <c r="B31" s="5" t="s">
        <v>27</v>
      </c>
      <c r="C31" s="5" t="s">
        <v>13</v>
      </c>
      <c r="D31" s="5" t="s">
        <v>21</v>
      </c>
      <c r="E31" s="5" t="s">
        <v>22</v>
      </c>
      <c r="F31" s="5" t="s">
        <v>20</v>
      </c>
      <c r="G31" s="5" t="n">
        <v>80</v>
      </c>
      <c r="H31" s="6" t="n">
        <v>12000</v>
      </c>
      <c r="I31" s="6" t="n">
        <f aca="false">G31*H31</f>
        <v>960000</v>
      </c>
      <c r="J31" s="6" t="n">
        <v>1114839</v>
      </c>
      <c r="K31" s="7" t="n">
        <f aca="false">IF(J31&gt;0,I31/J31,0)</f>
        <v>0.861110886863484</v>
      </c>
      <c r="L31" s="5" t="str">
        <f aca="false">IF(K31&gt;=1,"✅ Achieved","❌ Below Target")</f>
        <v>❌ Below Target</v>
      </c>
    </row>
    <row r="32" customFormat="false" ht="15" hidden="false" customHeight="false" outlineLevel="0" collapsed="false">
      <c r="A32" s="2" t="n">
        <v>31</v>
      </c>
      <c r="B32" s="2" t="s">
        <v>27</v>
      </c>
      <c r="C32" s="2" t="s">
        <v>13</v>
      </c>
      <c r="D32" s="2" t="s">
        <v>23</v>
      </c>
      <c r="E32" s="2" t="s">
        <v>24</v>
      </c>
      <c r="F32" s="2" t="s">
        <v>16</v>
      </c>
      <c r="G32" s="2" t="n">
        <v>116</v>
      </c>
      <c r="H32" s="3" t="n">
        <v>55000</v>
      </c>
      <c r="I32" s="3" t="n">
        <f aca="false">G32*H32</f>
        <v>6380000</v>
      </c>
      <c r="J32" s="3" t="n">
        <v>1818353</v>
      </c>
      <c r="K32" s="4" t="n">
        <f aca="false">IF(J32&gt;0,I32/J32,0)</f>
        <v>3.50866965875163</v>
      </c>
      <c r="L32" s="2" t="str">
        <f aca="false">IF(K32&gt;=1,"✅ Achieved","❌ Below Target")</f>
        <v>✅ Achieved</v>
      </c>
    </row>
    <row r="33" customFormat="false" ht="15" hidden="false" customHeight="false" outlineLevel="0" collapsed="false">
      <c r="A33" s="5" t="n">
        <v>32</v>
      </c>
      <c r="B33" s="5" t="s">
        <v>27</v>
      </c>
      <c r="C33" s="5" t="s">
        <v>13</v>
      </c>
      <c r="D33" s="5" t="s">
        <v>23</v>
      </c>
      <c r="E33" s="5" t="s">
        <v>24</v>
      </c>
      <c r="F33" s="5" t="s">
        <v>17</v>
      </c>
      <c r="G33" s="5" t="n">
        <v>89</v>
      </c>
      <c r="H33" s="6" t="n">
        <v>18000</v>
      </c>
      <c r="I33" s="6" t="n">
        <f aca="false">G33*H33</f>
        <v>1602000</v>
      </c>
      <c r="J33" s="6" t="n">
        <v>1258403</v>
      </c>
      <c r="K33" s="7" t="n">
        <f aca="false">IF(J33&gt;0,I33/J33,0)</f>
        <v>1.27304210177503</v>
      </c>
      <c r="L33" s="5" t="str">
        <f aca="false">IF(K33&gt;=1,"✅ Achieved","❌ Below Target")</f>
        <v>✅ Achieved</v>
      </c>
    </row>
    <row r="34" customFormat="false" ht="15" hidden="false" customHeight="false" outlineLevel="0" collapsed="false">
      <c r="A34" s="2" t="n">
        <v>33</v>
      </c>
      <c r="B34" s="2" t="s">
        <v>27</v>
      </c>
      <c r="C34" s="2" t="s">
        <v>13</v>
      </c>
      <c r="D34" s="2" t="s">
        <v>23</v>
      </c>
      <c r="E34" s="2" t="s">
        <v>24</v>
      </c>
      <c r="F34" s="2" t="s">
        <v>18</v>
      </c>
      <c r="G34" s="2" t="n">
        <v>83</v>
      </c>
      <c r="H34" s="3" t="n">
        <v>28000</v>
      </c>
      <c r="I34" s="3" t="n">
        <f aca="false">G34*H34</f>
        <v>2324000</v>
      </c>
      <c r="J34" s="3" t="n">
        <v>903258</v>
      </c>
      <c r="K34" s="4" t="n">
        <f aca="false">IF(J34&gt;0,I34/J34,0)</f>
        <v>2.57290829419723</v>
      </c>
      <c r="L34" s="2" t="str">
        <f aca="false">IF(K34&gt;=1,"✅ Achieved","❌ Below Target")</f>
        <v>✅ Achieved</v>
      </c>
    </row>
    <row r="35" customFormat="false" ht="15" hidden="false" customHeight="false" outlineLevel="0" collapsed="false">
      <c r="A35" s="5" t="n">
        <v>34</v>
      </c>
      <c r="B35" s="5" t="s">
        <v>27</v>
      </c>
      <c r="C35" s="5" t="s">
        <v>13</v>
      </c>
      <c r="D35" s="5" t="s">
        <v>23</v>
      </c>
      <c r="E35" s="5" t="s">
        <v>24</v>
      </c>
      <c r="F35" s="5" t="s">
        <v>19</v>
      </c>
      <c r="G35" s="5" t="n">
        <v>100</v>
      </c>
      <c r="H35" s="6" t="n">
        <v>3500</v>
      </c>
      <c r="I35" s="6" t="n">
        <f aca="false">G35*H35</f>
        <v>350000</v>
      </c>
      <c r="J35" s="6" t="n">
        <v>645867</v>
      </c>
      <c r="K35" s="7" t="n">
        <f aca="false">IF(J35&gt;0,I35/J35,0)</f>
        <v>0.541907234771246</v>
      </c>
      <c r="L35" s="5" t="str">
        <f aca="false">IF(K35&gt;=1,"✅ Achieved","❌ Below Target")</f>
        <v>❌ Below Target</v>
      </c>
    </row>
    <row r="36" customFormat="false" ht="15" hidden="false" customHeight="false" outlineLevel="0" collapsed="false">
      <c r="A36" s="2" t="n">
        <v>35</v>
      </c>
      <c r="B36" s="2" t="s">
        <v>27</v>
      </c>
      <c r="C36" s="2" t="s">
        <v>13</v>
      </c>
      <c r="D36" s="2" t="s">
        <v>23</v>
      </c>
      <c r="E36" s="2" t="s">
        <v>24</v>
      </c>
      <c r="F36" s="2" t="s">
        <v>20</v>
      </c>
      <c r="G36" s="2" t="n">
        <v>15</v>
      </c>
      <c r="H36" s="3" t="n">
        <v>12000</v>
      </c>
      <c r="I36" s="3" t="n">
        <f aca="false">G36*H36</f>
        <v>180000</v>
      </c>
      <c r="J36" s="3" t="n">
        <v>1886769</v>
      </c>
      <c r="K36" s="4" t="n">
        <f aca="false">IF(J36&gt;0,I36/J36,0)</f>
        <v>0.09540118583674</v>
      </c>
      <c r="L36" s="2" t="str">
        <f aca="false">IF(K36&gt;=1,"✅ Achieved","❌ Below Target")</f>
        <v>❌ Below Target</v>
      </c>
    </row>
    <row r="37" customFormat="false" ht="15" hidden="false" customHeight="false" outlineLevel="0" collapsed="false">
      <c r="A37" s="5" t="n">
        <v>36</v>
      </c>
      <c r="B37" s="5" t="s">
        <v>27</v>
      </c>
      <c r="C37" s="5" t="s">
        <v>13</v>
      </c>
      <c r="D37" s="5" t="s">
        <v>25</v>
      </c>
      <c r="E37" s="5" t="s">
        <v>26</v>
      </c>
      <c r="F37" s="5" t="s">
        <v>16</v>
      </c>
      <c r="G37" s="5" t="n">
        <v>39</v>
      </c>
      <c r="H37" s="6" t="n">
        <v>55000</v>
      </c>
      <c r="I37" s="6" t="n">
        <f aca="false">G37*H37</f>
        <v>2145000</v>
      </c>
      <c r="J37" s="6" t="n">
        <v>1106890</v>
      </c>
      <c r="K37" s="7" t="n">
        <f aca="false">IF(J37&gt;0,I37/J37,0)</f>
        <v>1.93786193750056</v>
      </c>
      <c r="L37" s="5" t="str">
        <f aca="false">IF(K37&gt;=1,"✅ Achieved","❌ Below Target")</f>
        <v>✅ Achieved</v>
      </c>
    </row>
    <row r="38" customFormat="false" ht="15" hidden="false" customHeight="false" outlineLevel="0" collapsed="false">
      <c r="A38" s="2" t="n">
        <v>37</v>
      </c>
      <c r="B38" s="2" t="s">
        <v>27</v>
      </c>
      <c r="C38" s="2" t="s">
        <v>13</v>
      </c>
      <c r="D38" s="2" t="s">
        <v>25</v>
      </c>
      <c r="E38" s="2" t="s">
        <v>26</v>
      </c>
      <c r="F38" s="2" t="s">
        <v>17</v>
      </c>
      <c r="G38" s="2" t="n">
        <v>20</v>
      </c>
      <c r="H38" s="3" t="n">
        <v>18000</v>
      </c>
      <c r="I38" s="3" t="n">
        <f aca="false">G38*H38</f>
        <v>360000</v>
      </c>
      <c r="J38" s="3" t="n">
        <v>988197</v>
      </c>
      <c r="K38" s="4" t="n">
        <f aca="false">IF(J38&gt;0,I38/J38,0)</f>
        <v>0.364299830904162</v>
      </c>
      <c r="L38" s="2" t="str">
        <f aca="false">IF(K38&gt;=1,"✅ Achieved","❌ Below Target")</f>
        <v>❌ Below Target</v>
      </c>
    </row>
    <row r="39" customFormat="false" ht="15" hidden="false" customHeight="false" outlineLevel="0" collapsed="false">
      <c r="A39" s="5" t="n">
        <v>38</v>
      </c>
      <c r="B39" s="5" t="s">
        <v>27</v>
      </c>
      <c r="C39" s="5" t="s">
        <v>13</v>
      </c>
      <c r="D39" s="5" t="s">
        <v>25</v>
      </c>
      <c r="E39" s="5" t="s">
        <v>26</v>
      </c>
      <c r="F39" s="5" t="s">
        <v>18</v>
      </c>
      <c r="G39" s="5" t="n">
        <v>120</v>
      </c>
      <c r="H39" s="6" t="n">
        <v>28000</v>
      </c>
      <c r="I39" s="6" t="n">
        <f aca="false">G39*H39</f>
        <v>3360000</v>
      </c>
      <c r="J39" s="6" t="n">
        <v>711815</v>
      </c>
      <c r="K39" s="7" t="n">
        <f aca="false">IF(J39&gt;0,I39/J39,0)</f>
        <v>4.72032761321411</v>
      </c>
      <c r="L39" s="5" t="str">
        <f aca="false">IF(K39&gt;=1,"✅ Achieved","❌ Below Target")</f>
        <v>✅ Achieved</v>
      </c>
    </row>
    <row r="40" customFormat="false" ht="15" hidden="false" customHeight="false" outlineLevel="0" collapsed="false">
      <c r="A40" s="2" t="n">
        <v>39</v>
      </c>
      <c r="B40" s="2" t="s">
        <v>27</v>
      </c>
      <c r="C40" s="2" t="s">
        <v>13</v>
      </c>
      <c r="D40" s="2" t="s">
        <v>25</v>
      </c>
      <c r="E40" s="2" t="s">
        <v>26</v>
      </c>
      <c r="F40" s="2" t="s">
        <v>19</v>
      </c>
      <c r="G40" s="2" t="n">
        <v>58</v>
      </c>
      <c r="H40" s="3" t="n">
        <v>3500</v>
      </c>
      <c r="I40" s="3" t="n">
        <f aca="false">G40*H40</f>
        <v>203000</v>
      </c>
      <c r="J40" s="3" t="n">
        <v>1082952</v>
      </c>
      <c r="K40" s="4" t="n">
        <f aca="false">IF(J40&gt;0,I40/J40,0)</f>
        <v>0.18745059799511</v>
      </c>
      <c r="L40" s="2" t="str">
        <f aca="false">IF(K40&gt;=1,"✅ Achieved","❌ Below Target")</f>
        <v>❌ Below Target</v>
      </c>
    </row>
    <row r="41" customFormat="false" ht="15" hidden="false" customHeight="false" outlineLevel="0" collapsed="false">
      <c r="A41" s="5" t="n">
        <v>40</v>
      </c>
      <c r="B41" s="5" t="s">
        <v>27</v>
      </c>
      <c r="C41" s="5" t="s">
        <v>13</v>
      </c>
      <c r="D41" s="5" t="s">
        <v>25</v>
      </c>
      <c r="E41" s="5" t="s">
        <v>26</v>
      </c>
      <c r="F41" s="5" t="s">
        <v>20</v>
      </c>
      <c r="G41" s="5" t="n">
        <v>68</v>
      </c>
      <c r="H41" s="6" t="n">
        <v>12000</v>
      </c>
      <c r="I41" s="6" t="n">
        <f aca="false">G41*H41</f>
        <v>816000</v>
      </c>
      <c r="J41" s="6" t="n">
        <v>1833126</v>
      </c>
      <c r="K41" s="7" t="n">
        <f aca="false">IF(J41&gt;0,I41/J41,0)</f>
        <v>0.445141250519604</v>
      </c>
      <c r="L41" s="5" t="str">
        <f aca="false">IF(K41&gt;=1,"✅ Achieved","❌ Below Target")</f>
        <v>❌ Below Target</v>
      </c>
    </row>
    <row r="42" customFormat="false" ht="15" hidden="false" customHeight="false" outlineLevel="0" collapsed="false">
      <c r="A42" s="2" t="n">
        <v>41</v>
      </c>
      <c r="B42" s="2" t="s">
        <v>28</v>
      </c>
      <c r="C42" s="2" t="s">
        <v>13</v>
      </c>
      <c r="D42" s="2" t="s">
        <v>14</v>
      </c>
      <c r="E42" s="2" t="s">
        <v>15</v>
      </c>
      <c r="F42" s="2" t="s">
        <v>16</v>
      </c>
      <c r="G42" s="2" t="n">
        <v>116</v>
      </c>
      <c r="H42" s="3" t="n">
        <v>55000</v>
      </c>
      <c r="I42" s="3" t="n">
        <f aca="false">G42*H42</f>
        <v>6380000</v>
      </c>
      <c r="J42" s="3" t="n">
        <v>1265108</v>
      </c>
      <c r="K42" s="4" t="n">
        <f aca="false">IF(J42&gt;0,I42/J42,0)</f>
        <v>5.04304770817986</v>
      </c>
      <c r="L42" s="2" t="str">
        <f aca="false">IF(K42&gt;=1,"✅ Achieved","❌ Below Target")</f>
        <v>✅ Achieved</v>
      </c>
    </row>
    <row r="43" customFormat="false" ht="15" hidden="false" customHeight="false" outlineLevel="0" collapsed="false">
      <c r="A43" s="5" t="n">
        <v>42</v>
      </c>
      <c r="B43" s="5" t="s">
        <v>28</v>
      </c>
      <c r="C43" s="5" t="s">
        <v>13</v>
      </c>
      <c r="D43" s="5" t="s">
        <v>14</v>
      </c>
      <c r="E43" s="5" t="s">
        <v>15</v>
      </c>
      <c r="F43" s="5" t="s">
        <v>17</v>
      </c>
      <c r="G43" s="5" t="n">
        <v>30</v>
      </c>
      <c r="H43" s="6" t="n">
        <v>18000</v>
      </c>
      <c r="I43" s="6" t="n">
        <f aca="false">G43*H43</f>
        <v>540000</v>
      </c>
      <c r="J43" s="6" t="n">
        <v>1276325</v>
      </c>
      <c r="K43" s="7" t="n">
        <f aca="false">IF(J43&gt;0,I43/J43,0)</f>
        <v>0.423089730280297</v>
      </c>
      <c r="L43" s="5" t="str">
        <f aca="false">IF(K43&gt;=1,"✅ Achieved","❌ Below Target")</f>
        <v>❌ Below Target</v>
      </c>
    </row>
    <row r="44" customFormat="false" ht="15" hidden="false" customHeight="false" outlineLevel="0" collapsed="false">
      <c r="A44" s="2" t="n">
        <v>43</v>
      </c>
      <c r="B44" s="2" t="s">
        <v>28</v>
      </c>
      <c r="C44" s="2" t="s">
        <v>13</v>
      </c>
      <c r="D44" s="2" t="s">
        <v>14</v>
      </c>
      <c r="E44" s="2" t="s">
        <v>15</v>
      </c>
      <c r="F44" s="2" t="s">
        <v>18</v>
      </c>
      <c r="G44" s="2" t="n">
        <v>55</v>
      </c>
      <c r="H44" s="3" t="n">
        <v>28000</v>
      </c>
      <c r="I44" s="3" t="n">
        <f aca="false">G44*H44</f>
        <v>1540000</v>
      </c>
      <c r="J44" s="3" t="n">
        <v>939368</v>
      </c>
      <c r="K44" s="4" t="n">
        <f aca="false">IF(J44&gt;0,I44/J44,0)</f>
        <v>1.63940010730619</v>
      </c>
      <c r="L44" s="2" t="str">
        <f aca="false">IF(K44&gt;=1,"✅ Achieved","❌ Below Target")</f>
        <v>✅ Achieved</v>
      </c>
    </row>
    <row r="45" customFormat="false" ht="15" hidden="false" customHeight="false" outlineLevel="0" collapsed="false">
      <c r="A45" s="5" t="n">
        <v>44</v>
      </c>
      <c r="B45" s="5" t="s">
        <v>28</v>
      </c>
      <c r="C45" s="5" t="s">
        <v>13</v>
      </c>
      <c r="D45" s="5" t="s">
        <v>14</v>
      </c>
      <c r="E45" s="5" t="s">
        <v>15</v>
      </c>
      <c r="F45" s="5" t="s">
        <v>19</v>
      </c>
      <c r="G45" s="5" t="n">
        <v>95</v>
      </c>
      <c r="H45" s="6" t="n">
        <v>3500</v>
      </c>
      <c r="I45" s="6" t="n">
        <f aca="false">G45*H45</f>
        <v>332500</v>
      </c>
      <c r="J45" s="6" t="n">
        <v>1059893</v>
      </c>
      <c r="K45" s="7" t="n">
        <f aca="false">IF(J45&gt;0,I45/J45,0)</f>
        <v>0.313710912327943</v>
      </c>
      <c r="L45" s="5" t="str">
        <f aca="false">IF(K45&gt;=1,"✅ Achieved","❌ Below Target")</f>
        <v>❌ Below Target</v>
      </c>
    </row>
    <row r="46" customFormat="false" ht="15" hidden="false" customHeight="false" outlineLevel="0" collapsed="false">
      <c r="A46" s="2" t="n">
        <v>45</v>
      </c>
      <c r="B46" s="2" t="s">
        <v>28</v>
      </c>
      <c r="C46" s="2" t="s">
        <v>13</v>
      </c>
      <c r="D46" s="2" t="s">
        <v>14</v>
      </c>
      <c r="E46" s="2" t="s">
        <v>15</v>
      </c>
      <c r="F46" s="2" t="s">
        <v>20</v>
      </c>
      <c r="G46" s="2" t="n">
        <v>99</v>
      </c>
      <c r="H46" s="3" t="n">
        <v>12000</v>
      </c>
      <c r="I46" s="3" t="n">
        <f aca="false">G46*H46</f>
        <v>1188000</v>
      </c>
      <c r="J46" s="3" t="n">
        <v>1933503</v>
      </c>
      <c r="K46" s="4" t="n">
        <f aca="false">IF(J46&gt;0,I46/J46,0)</f>
        <v>0.614428837193426</v>
      </c>
      <c r="L46" s="2" t="str">
        <f aca="false">IF(K46&gt;=1,"✅ Achieved","❌ Below Target")</f>
        <v>❌ Below Target</v>
      </c>
    </row>
    <row r="47" customFormat="false" ht="15" hidden="false" customHeight="false" outlineLevel="0" collapsed="false">
      <c r="A47" s="5" t="n">
        <v>46</v>
      </c>
      <c r="B47" s="5" t="s">
        <v>28</v>
      </c>
      <c r="C47" s="5" t="s">
        <v>13</v>
      </c>
      <c r="D47" s="5" t="s">
        <v>21</v>
      </c>
      <c r="E47" s="5" t="s">
        <v>22</v>
      </c>
      <c r="F47" s="5" t="s">
        <v>16</v>
      </c>
      <c r="G47" s="5" t="n">
        <v>92</v>
      </c>
      <c r="H47" s="6" t="n">
        <v>55000</v>
      </c>
      <c r="I47" s="6" t="n">
        <f aca="false">G47*H47</f>
        <v>5060000</v>
      </c>
      <c r="J47" s="6" t="n">
        <v>649741</v>
      </c>
      <c r="K47" s="7" t="n">
        <f aca="false">IF(J47&gt;0,I47/J47,0)</f>
        <v>7.78771849090638</v>
      </c>
      <c r="L47" s="5" t="str">
        <f aca="false">IF(K47&gt;=1,"✅ Achieved","❌ Below Target")</f>
        <v>✅ Achieved</v>
      </c>
    </row>
    <row r="48" customFormat="false" ht="15" hidden="false" customHeight="false" outlineLevel="0" collapsed="false">
      <c r="A48" s="2" t="n">
        <v>47</v>
      </c>
      <c r="B48" s="2" t="s">
        <v>28</v>
      </c>
      <c r="C48" s="2" t="s">
        <v>13</v>
      </c>
      <c r="D48" s="2" t="s">
        <v>21</v>
      </c>
      <c r="E48" s="2" t="s">
        <v>22</v>
      </c>
      <c r="F48" s="2" t="s">
        <v>17</v>
      </c>
      <c r="G48" s="2" t="n">
        <v>87</v>
      </c>
      <c r="H48" s="3" t="n">
        <v>18000</v>
      </c>
      <c r="I48" s="3" t="n">
        <f aca="false">G48*H48</f>
        <v>1566000</v>
      </c>
      <c r="J48" s="3" t="n">
        <v>1831645</v>
      </c>
      <c r="K48" s="4" t="n">
        <f aca="false">IF(J48&gt;0,I48/J48,0)</f>
        <v>0.854969167060211</v>
      </c>
      <c r="L48" s="2" t="str">
        <f aca="false">IF(K48&gt;=1,"✅ Achieved","❌ Below Target")</f>
        <v>❌ Below Target</v>
      </c>
    </row>
    <row r="49" customFormat="false" ht="15" hidden="false" customHeight="false" outlineLevel="0" collapsed="false">
      <c r="A49" s="5" t="n">
        <v>48</v>
      </c>
      <c r="B49" s="5" t="s">
        <v>28</v>
      </c>
      <c r="C49" s="5" t="s">
        <v>13</v>
      </c>
      <c r="D49" s="5" t="s">
        <v>21</v>
      </c>
      <c r="E49" s="5" t="s">
        <v>22</v>
      </c>
      <c r="F49" s="5" t="s">
        <v>18</v>
      </c>
      <c r="G49" s="5" t="n">
        <v>31</v>
      </c>
      <c r="H49" s="6" t="n">
        <v>28000</v>
      </c>
      <c r="I49" s="6" t="n">
        <f aca="false">G49*H49</f>
        <v>868000</v>
      </c>
      <c r="J49" s="6" t="n">
        <v>1620172</v>
      </c>
      <c r="K49" s="7" t="n">
        <f aca="false">IF(J49&gt;0,I49/J49,0)</f>
        <v>0.535745587505524</v>
      </c>
      <c r="L49" s="5" t="str">
        <f aca="false">IF(K49&gt;=1,"✅ Achieved","❌ Below Target")</f>
        <v>❌ Below Target</v>
      </c>
    </row>
    <row r="50" customFormat="false" ht="15" hidden="false" customHeight="false" outlineLevel="0" collapsed="false">
      <c r="A50" s="2" t="n">
        <v>49</v>
      </c>
      <c r="B50" s="2" t="s">
        <v>28</v>
      </c>
      <c r="C50" s="2" t="s">
        <v>13</v>
      </c>
      <c r="D50" s="2" t="s">
        <v>21</v>
      </c>
      <c r="E50" s="2" t="s">
        <v>22</v>
      </c>
      <c r="F50" s="2" t="s">
        <v>19</v>
      </c>
      <c r="G50" s="2" t="n">
        <v>103</v>
      </c>
      <c r="H50" s="3" t="n">
        <v>3500</v>
      </c>
      <c r="I50" s="3" t="n">
        <f aca="false">G50*H50</f>
        <v>360500</v>
      </c>
      <c r="J50" s="3" t="n">
        <v>1013405</v>
      </c>
      <c r="K50" s="4" t="n">
        <f aca="false">IF(J50&gt;0,I50/J50,0)</f>
        <v>0.355731420310735</v>
      </c>
      <c r="L50" s="2" t="str">
        <f aca="false">IF(K50&gt;=1,"✅ Achieved","❌ Below Target")</f>
        <v>❌ Below Target</v>
      </c>
    </row>
    <row r="51" customFormat="false" ht="15" hidden="false" customHeight="false" outlineLevel="0" collapsed="false">
      <c r="A51" s="5" t="n">
        <v>50</v>
      </c>
      <c r="B51" s="5" t="s">
        <v>28</v>
      </c>
      <c r="C51" s="5" t="s">
        <v>13</v>
      </c>
      <c r="D51" s="5" t="s">
        <v>21</v>
      </c>
      <c r="E51" s="5" t="s">
        <v>22</v>
      </c>
      <c r="F51" s="5" t="s">
        <v>20</v>
      </c>
      <c r="G51" s="5" t="n">
        <v>30</v>
      </c>
      <c r="H51" s="6" t="n">
        <v>12000</v>
      </c>
      <c r="I51" s="6" t="n">
        <f aca="false">G51*H51</f>
        <v>360000</v>
      </c>
      <c r="J51" s="6" t="n">
        <v>1469429</v>
      </c>
      <c r="K51" s="7" t="n">
        <f aca="false">IF(J51&gt;0,I51/J51,0)</f>
        <v>0.24499312317914</v>
      </c>
      <c r="L51" s="5" t="str">
        <f aca="false">IF(K51&gt;=1,"✅ Achieved","❌ Below Target")</f>
        <v>❌ Below Target</v>
      </c>
    </row>
    <row r="52" customFormat="false" ht="15" hidden="false" customHeight="false" outlineLevel="0" collapsed="false">
      <c r="A52" s="2" t="n">
        <v>51</v>
      </c>
      <c r="B52" s="2" t="s">
        <v>28</v>
      </c>
      <c r="C52" s="2" t="s">
        <v>13</v>
      </c>
      <c r="D52" s="2" t="s">
        <v>23</v>
      </c>
      <c r="E52" s="2" t="s">
        <v>24</v>
      </c>
      <c r="F52" s="2" t="s">
        <v>16</v>
      </c>
      <c r="G52" s="2" t="n">
        <v>58</v>
      </c>
      <c r="H52" s="3" t="n">
        <v>55000</v>
      </c>
      <c r="I52" s="3" t="n">
        <f aca="false">G52*H52</f>
        <v>3190000</v>
      </c>
      <c r="J52" s="3" t="n">
        <v>1066121</v>
      </c>
      <c r="K52" s="4" t="n">
        <f aca="false">IF(J52&gt;0,I52/J52,0)</f>
        <v>2.99215567463731</v>
      </c>
      <c r="L52" s="2" t="str">
        <f aca="false">IF(K52&gt;=1,"✅ Achieved","❌ Below Target")</f>
        <v>✅ Achieved</v>
      </c>
    </row>
    <row r="53" customFormat="false" ht="15" hidden="false" customHeight="false" outlineLevel="0" collapsed="false">
      <c r="A53" s="5" t="n">
        <v>52</v>
      </c>
      <c r="B53" s="5" t="s">
        <v>28</v>
      </c>
      <c r="C53" s="5" t="s">
        <v>13</v>
      </c>
      <c r="D53" s="5" t="s">
        <v>23</v>
      </c>
      <c r="E53" s="5" t="s">
        <v>24</v>
      </c>
      <c r="F53" s="5" t="s">
        <v>17</v>
      </c>
      <c r="G53" s="5" t="n">
        <v>91</v>
      </c>
      <c r="H53" s="6" t="n">
        <v>18000</v>
      </c>
      <c r="I53" s="6" t="n">
        <f aca="false">G53*H53</f>
        <v>1638000</v>
      </c>
      <c r="J53" s="6" t="n">
        <v>1943180</v>
      </c>
      <c r="K53" s="7" t="n">
        <f aca="false">IF(J53&gt;0,I53/J53,0)</f>
        <v>0.842948157144475</v>
      </c>
      <c r="L53" s="5" t="str">
        <f aca="false">IF(K53&gt;=1,"✅ Achieved","❌ Below Target")</f>
        <v>❌ Below Target</v>
      </c>
    </row>
    <row r="54" customFormat="false" ht="15" hidden="false" customHeight="false" outlineLevel="0" collapsed="false">
      <c r="A54" s="2" t="n">
        <v>53</v>
      </c>
      <c r="B54" s="2" t="s">
        <v>28</v>
      </c>
      <c r="C54" s="2" t="s">
        <v>13</v>
      </c>
      <c r="D54" s="2" t="s">
        <v>23</v>
      </c>
      <c r="E54" s="2" t="s">
        <v>24</v>
      </c>
      <c r="F54" s="2" t="s">
        <v>18</v>
      </c>
      <c r="G54" s="2" t="n">
        <v>81</v>
      </c>
      <c r="H54" s="3" t="n">
        <v>28000</v>
      </c>
      <c r="I54" s="3" t="n">
        <f aca="false">G54*H54</f>
        <v>2268000</v>
      </c>
      <c r="J54" s="3" t="n">
        <v>960566</v>
      </c>
      <c r="K54" s="4" t="n">
        <f aca="false">IF(J54&gt;0,I54/J54,0)</f>
        <v>2.3611079301162</v>
      </c>
      <c r="L54" s="2" t="str">
        <f aca="false">IF(K54&gt;=1,"✅ Achieved","❌ Below Target")</f>
        <v>✅ Achieved</v>
      </c>
    </row>
    <row r="55" customFormat="false" ht="15" hidden="false" customHeight="false" outlineLevel="0" collapsed="false">
      <c r="A55" s="5" t="n">
        <v>54</v>
      </c>
      <c r="B55" s="5" t="s">
        <v>28</v>
      </c>
      <c r="C55" s="5" t="s">
        <v>13</v>
      </c>
      <c r="D55" s="5" t="s">
        <v>23</v>
      </c>
      <c r="E55" s="5" t="s">
        <v>24</v>
      </c>
      <c r="F55" s="5" t="s">
        <v>19</v>
      </c>
      <c r="G55" s="5" t="n">
        <v>97</v>
      </c>
      <c r="H55" s="6" t="n">
        <v>3500</v>
      </c>
      <c r="I55" s="6" t="n">
        <f aca="false">G55*H55</f>
        <v>339500</v>
      </c>
      <c r="J55" s="6" t="n">
        <v>1180070</v>
      </c>
      <c r="K55" s="7" t="n">
        <f aca="false">IF(J55&gt;0,I55/J55,0)</f>
        <v>0.287694797766234</v>
      </c>
      <c r="L55" s="5" t="str">
        <f aca="false">IF(K55&gt;=1,"✅ Achieved","❌ Below Target")</f>
        <v>❌ Below Target</v>
      </c>
    </row>
    <row r="56" customFormat="false" ht="15" hidden="false" customHeight="false" outlineLevel="0" collapsed="false">
      <c r="A56" s="2" t="n">
        <v>55</v>
      </c>
      <c r="B56" s="2" t="s">
        <v>28</v>
      </c>
      <c r="C56" s="2" t="s">
        <v>13</v>
      </c>
      <c r="D56" s="2" t="s">
        <v>23</v>
      </c>
      <c r="E56" s="2" t="s">
        <v>24</v>
      </c>
      <c r="F56" s="2" t="s">
        <v>20</v>
      </c>
      <c r="G56" s="2" t="n">
        <v>117</v>
      </c>
      <c r="H56" s="3" t="n">
        <v>12000</v>
      </c>
      <c r="I56" s="3" t="n">
        <f aca="false">G56*H56</f>
        <v>1404000</v>
      </c>
      <c r="J56" s="3" t="n">
        <v>617310</v>
      </c>
      <c r="K56" s="4" t="n">
        <f aca="false">IF(J56&gt;0,I56/J56,0)</f>
        <v>2.27438402099431</v>
      </c>
      <c r="L56" s="2" t="str">
        <f aca="false">IF(K56&gt;=1,"✅ Achieved","❌ Below Target")</f>
        <v>✅ Achieved</v>
      </c>
    </row>
    <row r="57" customFormat="false" ht="15" hidden="false" customHeight="false" outlineLevel="0" collapsed="false">
      <c r="A57" s="5" t="n">
        <v>56</v>
      </c>
      <c r="B57" s="5" t="s">
        <v>28</v>
      </c>
      <c r="C57" s="5" t="s">
        <v>13</v>
      </c>
      <c r="D57" s="5" t="s">
        <v>25</v>
      </c>
      <c r="E57" s="5" t="s">
        <v>26</v>
      </c>
      <c r="F57" s="5" t="s">
        <v>16</v>
      </c>
      <c r="G57" s="5" t="n">
        <v>39</v>
      </c>
      <c r="H57" s="6" t="n">
        <v>55000</v>
      </c>
      <c r="I57" s="6" t="n">
        <f aca="false">G57*H57</f>
        <v>2145000</v>
      </c>
      <c r="J57" s="6" t="n">
        <v>567319</v>
      </c>
      <c r="K57" s="7" t="n">
        <f aca="false">IF(J57&gt;0,I57/J57,0)</f>
        <v>3.78094158665583</v>
      </c>
      <c r="L57" s="5" t="str">
        <f aca="false">IF(K57&gt;=1,"✅ Achieved","❌ Below Target")</f>
        <v>✅ Achieved</v>
      </c>
    </row>
    <row r="58" customFormat="false" ht="15" hidden="false" customHeight="false" outlineLevel="0" collapsed="false">
      <c r="A58" s="2" t="n">
        <v>57</v>
      </c>
      <c r="B58" s="2" t="s">
        <v>28</v>
      </c>
      <c r="C58" s="2" t="s">
        <v>13</v>
      </c>
      <c r="D58" s="2" t="s">
        <v>25</v>
      </c>
      <c r="E58" s="2" t="s">
        <v>26</v>
      </c>
      <c r="F58" s="2" t="s">
        <v>17</v>
      </c>
      <c r="G58" s="2" t="n">
        <v>113</v>
      </c>
      <c r="H58" s="3" t="n">
        <v>18000</v>
      </c>
      <c r="I58" s="3" t="n">
        <f aca="false">G58*H58</f>
        <v>2034000</v>
      </c>
      <c r="J58" s="3" t="n">
        <v>1161552</v>
      </c>
      <c r="K58" s="4" t="n">
        <f aca="false">IF(J58&gt;0,I58/J58,0)</f>
        <v>1.75110541757924</v>
      </c>
      <c r="L58" s="2" t="str">
        <f aca="false">IF(K58&gt;=1,"✅ Achieved","❌ Below Target")</f>
        <v>✅ Achieved</v>
      </c>
    </row>
    <row r="59" customFormat="false" ht="15" hidden="false" customHeight="false" outlineLevel="0" collapsed="false">
      <c r="A59" s="5" t="n">
        <v>58</v>
      </c>
      <c r="B59" s="5" t="s">
        <v>28</v>
      </c>
      <c r="C59" s="5" t="s">
        <v>13</v>
      </c>
      <c r="D59" s="5" t="s">
        <v>25</v>
      </c>
      <c r="E59" s="5" t="s">
        <v>26</v>
      </c>
      <c r="F59" s="5" t="s">
        <v>18</v>
      </c>
      <c r="G59" s="5" t="n">
        <v>61</v>
      </c>
      <c r="H59" s="6" t="n">
        <v>28000</v>
      </c>
      <c r="I59" s="6" t="n">
        <f aca="false">G59*H59</f>
        <v>1708000</v>
      </c>
      <c r="J59" s="6" t="n">
        <v>1061493</v>
      </c>
      <c r="K59" s="7" t="n">
        <f aca="false">IF(J59&gt;0,I59/J59,0)</f>
        <v>1.60905441675075</v>
      </c>
      <c r="L59" s="5" t="str">
        <f aca="false">IF(K59&gt;=1,"✅ Achieved","❌ Below Target")</f>
        <v>✅ Achieved</v>
      </c>
    </row>
    <row r="60" customFormat="false" ht="15" hidden="false" customHeight="false" outlineLevel="0" collapsed="false">
      <c r="A60" s="2" t="n">
        <v>59</v>
      </c>
      <c r="B60" s="2" t="s">
        <v>28</v>
      </c>
      <c r="C60" s="2" t="s">
        <v>13</v>
      </c>
      <c r="D60" s="2" t="s">
        <v>25</v>
      </c>
      <c r="E60" s="2" t="s">
        <v>26</v>
      </c>
      <c r="F60" s="2" t="s">
        <v>19</v>
      </c>
      <c r="G60" s="2" t="n">
        <v>18</v>
      </c>
      <c r="H60" s="3" t="n">
        <v>3500</v>
      </c>
      <c r="I60" s="3" t="n">
        <f aca="false">G60*H60</f>
        <v>63000</v>
      </c>
      <c r="J60" s="3" t="n">
        <v>942463</v>
      </c>
      <c r="K60" s="4" t="n">
        <f aca="false">IF(J60&gt;0,I60/J60,0)</f>
        <v>0.0668461255242911</v>
      </c>
      <c r="L60" s="2" t="str">
        <f aca="false">IF(K60&gt;=1,"✅ Achieved","❌ Below Target")</f>
        <v>❌ Below Target</v>
      </c>
    </row>
    <row r="61" customFormat="false" ht="15" hidden="false" customHeight="false" outlineLevel="0" collapsed="false">
      <c r="A61" s="5" t="n">
        <v>60</v>
      </c>
      <c r="B61" s="5" t="s">
        <v>28</v>
      </c>
      <c r="C61" s="5" t="s">
        <v>13</v>
      </c>
      <c r="D61" s="5" t="s">
        <v>25</v>
      </c>
      <c r="E61" s="5" t="s">
        <v>26</v>
      </c>
      <c r="F61" s="5" t="s">
        <v>20</v>
      </c>
      <c r="G61" s="5" t="n">
        <v>82</v>
      </c>
      <c r="H61" s="6" t="n">
        <v>12000</v>
      </c>
      <c r="I61" s="6" t="n">
        <f aca="false">G61*H61</f>
        <v>984000</v>
      </c>
      <c r="J61" s="6" t="n">
        <v>1159927</v>
      </c>
      <c r="K61" s="7" t="n">
        <f aca="false">IF(J61&gt;0,I61/J61,0)</f>
        <v>0.848329248306143</v>
      </c>
      <c r="L61" s="5" t="str">
        <f aca="false">IF(K61&gt;=1,"✅ Achieved","❌ Below Target")</f>
        <v>❌ Below Target</v>
      </c>
    </row>
    <row r="62" customFormat="false" ht="15" hidden="false" customHeight="false" outlineLevel="0" collapsed="false">
      <c r="A62" s="2" t="n">
        <v>61</v>
      </c>
      <c r="B62" s="2" t="s">
        <v>29</v>
      </c>
      <c r="C62" s="2" t="s">
        <v>30</v>
      </c>
      <c r="D62" s="2" t="s">
        <v>14</v>
      </c>
      <c r="E62" s="2" t="s">
        <v>15</v>
      </c>
      <c r="F62" s="2" t="s">
        <v>16</v>
      </c>
      <c r="G62" s="2" t="n">
        <v>37</v>
      </c>
      <c r="H62" s="3" t="n">
        <v>55000</v>
      </c>
      <c r="I62" s="3" t="n">
        <f aca="false">G62*H62</f>
        <v>2035000</v>
      </c>
      <c r="J62" s="3" t="n">
        <v>1874554</v>
      </c>
      <c r="K62" s="4" t="n">
        <f aca="false">IF(J62&gt;0,I62/J62,0)</f>
        <v>1.08559155937892</v>
      </c>
      <c r="L62" s="2" t="str">
        <f aca="false">IF(K62&gt;=1,"✅ Achieved","❌ Below Target")</f>
        <v>✅ Achieved</v>
      </c>
    </row>
    <row r="63" customFormat="false" ht="15" hidden="false" customHeight="false" outlineLevel="0" collapsed="false">
      <c r="A63" s="5" t="n">
        <v>62</v>
      </c>
      <c r="B63" s="5" t="s">
        <v>29</v>
      </c>
      <c r="C63" s="5" t="s">
        <v>30</v>
      </c>
      <c r="D63" s="5" t="s">
        <v>14</v>
      </c>
      <c r="E63" s="5" t="s">
        <v>15</v>
      </c>
      <c r="F63" s="5" t="s">
        <v>17</v>
      </c>
      <c r="G63" s="5" t="n">
        <v>73</v>
      </c>
      <c r="H63" s="6" t="n">
        <v>18000</v>
      </c>
      <c r="I63" s="6" t="n">
        <f aca="false">G63*H63</f>
        <v>1314000</v>
      </c>
      <c r="J63" s="6" t="n">
        <v>1329700</v>
      </c>
      <c r="K63" s="7" t="n">
        <f aca="false">IF(J63&gt;0,I63/J63,0)</f>
        <v>0.98819282544935</v>
      </c>
      <c r="L63" s="5" t="str">
        <f aca="false">IF(K63&gt;=1,"✅ Achieved","❌ Below Target")</f>
        <v>❌ Below Target</v>
      </c>
    </row>
    <row r="64" customFormat="false" ht="15" hidden="false" customHeight="false" outlineLevel="0" collapsed="false">
      <c r="A64" s="2" t="n">
        <v>63</v>
      </c>
      <c r="B64" s="2" t="s">
        <v>29</v>
      </c>
      <c r="C64" s="2" t="s">
        <v>30</v>
      </c>
      <c r="D64" s="2" t="s">
        <v>14</v>
      </c>
      <c r="E64" s="2" t="s">
        <v>15</v>
      </c>
      <c r="F64" s="2" t="s">
        <v>18</v>
      </c>
      <c r="G64" s="2" t="n">
        <v>92</v>
      </c>
      <c r="H64" s="3" t="n">
        <v>28000</v>
      </c>
      <c r="I64" s="3" t="n">
        <f aca="false">G64*H64</f>
        <v>2576000</v>
      </c>
      <c r="J64" s="3" t="n">
        <v>1462282</v>
      </c>
      <c r="K64" s="4" t="n">
        <f aca="false">IF(J64&gt;0,I64/J64,0)</f>
        <v>1.76163010965053</v>
      </c>
      <c r="L64" s="2" t="str">
        <f aca="false">IF(K64&gt;=1,"✅ Achieved","❌ Below Target")</f>
        <v>✅ Achieved</v>
      </c>
    </row>
    <row r="65" customFormat="false" ht="15" hidden="false" customHeight="false" outlineLevel="0" collapsed="false">
      <c r="A65" s="5" t="n">
        <v>64</v>
      </c>
      <c r="B65" s="5" t="s">
        <v>29</v>
      </c>
      <c r="C65" s="5" t="s">
        <v>30</v>
      </c>
      <c r="D65" s="5" t="s">
        <v>14</v>
      </c>
      <c r="E65" s="5" t="s">
        <v>15</v>
      </c>
      <c r="F65" s="5" t="s">
        <v>19</v>
      </c>
      <c r="G65" s="5" t="n">
        <v>28</v>
      </c>
      <c r="H65" s="6" t="n">
        <v>3500</v>
      </c>
      <c r="I65" s="6" t="n">
        <f aca="false">G65*H65</f>
        <v>98000</v>
      </c>
      <c r="J65" s="6" t="n">
        <v>1055493</v>
      </c>
      <c r="K65" s="7" t="n">
        <f aca="false">IF(J65&gt;0,I65/J65,0)</f>
        <v>0.0928476077055935</v>
      </c>
      <c r="L65" s="5" t="str">
        <f aca="false">IF(K65&gt;=1,"✅ Achieved","❌ Below Target")</f>
        <v>❌ Below Target</v>
      </c>
    </row>
    <row r="66" customFormat="false" ht="15" hidden="false" customHeight="false" outlineLevel="0" collapsed="false">
      <c r="A66" s="2" t="n">
        <v>65</v>
      </c>
      <c r="B66" s="2" t="s">
        <v>29</v>
      </c>
      <c r="C66" s="2" t="s">
        <v>30</v>
      </c>
      <c r="D66" s="2" t="s">
        <v>14</v>
      </c>
      <c r="E66" s="2" t="s">
        <v>15</v>
      </c>
      <c r="F66" s="2" t="s">
        <v>20</v>
      </c>
      <c r="G66" s="2" t="n">
        <v>27</v>
      </c>
      <c r="H66" s="3" t="n">
        <v>12000</v>
      </c>
      <c r="I66" s="3" t="n">
        <f aca="false">G66*H66</f>
        <v>324000</v>
      </c>
      <c r="J66" s="3" t="n">
        <v>1017215</v>
      </c>
      <c r="K66" s="4" t="n">
        <f aca="false">IF(J66&gt;0,I66/J66,0)</f>
        <v>0.318516734417011</v>
      </c>
      <c r="L66" s="2" t="str">
        <f aca="false">IF(K66&gt;=1,"✅ Achieved","❌ Below Target")</f>
        <v>❌ Below Target</v>
      </c>
    </row>
    <row r="67" customFormat="false" ht="15" hidden="false" customHeight="false" outlineLevel="0" collapsed="false">
      <c r="A67" s="5" t="n">
        <v>66</v>
      </c>
      <c r="B67" s="5" t="s">
        <v>29</v>
      </c>
      <c r="C67" s="5" t="s">
        <v>30</v>
      </c>
      <c r="D67" s="5" t="s">
        <v>21</v>
      </c>
      <c r="E67" s="5" t="s">
        <v>22</v>
      </c>
      <c r="F67" s="5" t="s">
        <v>16</v>
      </c>
      <c r="G67" s="5" t="n">
        <v>105</v>
      </c>
      <c r="H67" s="6" t="n">
        <v>55000</v>
      </c>
      <c r="I67" s="6" t="n">
        <f aca="false">G67*H67</f>
        <v>5775000</v>
      </c>
      <c r="J67" s="6" t="n">
        <v>1677274</v>
      </c>
      <c r="K67" s="7" t="n">
        <f aca="false">IF(J67&gt;0,I67/J67,0)</f>
        <v>3.4430868182539</v>
      </c>
      <c r="L67" s="5" t="str">
        <f aca="false">IF(K67&gt;=1,"✅ Achieved","❌ Below Target")</f>
        <v>✅ Achieved</v>
      </c>
    </row>
    <row r="68" customFormat="false" ht="15" hidden="false" customHeight="false" outlineLevel="0" collapsed="false">
      <c r="A68" s="2" t="n">
        <v>67</v>
      </c>
      <c r="B68" s="2" t="s">
        <v>29</v>
      </c>
      <c r="C68" s="2" t="s">
        <v>30</v>
      </c>
      <c r="D68" s="2" t="s">
        <v>21</v>
      </c>
      <c r="E68" s="2" t="s">
        <v>22</v>
      </c>
      <c r="F68" s="2" t="s">
        <v>17</v>
      </c>
      <c r="G68" s="2" t="n">
        <v>78</v>
      </c>
      <c r="H68" s="3" t="n">
        <v>18000</v>
      </c>
      <c r="I68" s="3" t="n">
        <f aca="false">G68*H68</f>
        <v>1404000</v>
      </c>
      <c r="J68" s="3" t="n">
        <v>1051009</v>
      </c>
      <c r="K68" s="4" t="n">
        <f aca="false">IF(J68&gt;0,I68/J68,0)</f>
        <v>1.33585916010234</v>
      </c>
      <c r="L68" s="2" t="str">
        <f aca="false">IF(K68&gt;=1,"✅ Achieved","❌ Below Target")</f>
        <v>✅ Achieved</v>
      </c>
    </row>
    <row r="69" customFormat="false" ht="15" hidden="false" customHeight="false" outlineLevel="0" collapsed="false">
      <c r="A69" s="5" t="n">
        <v>68</v>
      </c>
      <c r="B69" s="5" t="s">
        <v>29</v>
      </c>
      <c r="C69" s="5" t="s">
        <v>30</v>
      </c>
      <c r="D69" s="5" t="s">
        <v>21</v>
      </c>
      <c r="E69" s="5" t="s">
        <v>22</v>
      </c>
      <c r="F69" s="5" t="s">
        <v>18</v>
      </c>
      <c r="G69" s="5" t="n">
        <v>105</v>
      </c>
      <c r="H69" s="6" t="n">
        <v>28000</v>
      </c>
      <c r="I69" s="6" t="n">
        <f aca="false">G69*H69</f>
        <v>2940000</v>
      </c>
      <c r="J69" s="6" t="n">
        <v>1725965</v>
      </c>
      <c r="K69" s="7" t="n">
        <f aca="false">IF(J69&gt;0,I69/J69,0)</f>
        <v>1.70339491241132</v>
      </c>
      <c r="L69" s="5" t="str">
        <f aca="false">IF(K69&gt;=1,"✅ Achieved","❌ Below Target")</f>
        <v>✅ Achieved</v>
      </c>
    </row>
    <row r="70" customFormat="false" ht="15" hidden="false" customHeight="false" outlineLevel="0" collapsed="false">
      <c r="A70" s="2" t="n">
        <v>69</v>
      </c>
      <c r="B70" s="2" t="s">
        <v>29</v>
      </c>
      <c r="C70" s="2" t="s">
        <v>30</v>
      </c>
      <c r="D70" s="2" t="s">
        <v>21</v>
      </c>
      <c r="E70" s="2" t="s">
        <v>22</v>
      </c>
      <c r="F70" s="2" t="s">
        <v>19</v>
      </c>
      <c r="G70" s="2" t="n">
        <v>64</v>
      </c>
      <c r="H70" s="3" t="n">
        <v>3500</v>
      </c>
      <c r="I70" s="3" t="n">
        <f aca="false">G70*H70</f>
        <v>224000</v>
      </c>
      <c r="J70" s="3" t="n">
        <v>1723757</v>
      </c>
      <c r="K70" s="4" t="n">
        <f aca="false">IF(J70&gt;0,I70/J70,0)</f>
        <v>0.129948710868179</v>
      </c>
      <c r="L70" s="2" t="str">
        <f aca="false">IF(K70&gt;=1,"✅ Achieved","❌ Below Target")</f>
        <v>❌ Below Target</v>
      </c>
    </row>
    <row r="71" customFormat="false" ht="15" hidden="false" customHeight="false" outlineLevel="0" collapsed="false">
      <c r="A71" s="5" t="n">
        <v>70</v>
      </c>
      <c r="B71" s="5" t="s">
        <v>29</v>
      </c>
      <c r="C71" s="5" t="s">
        <v>30</v>
      </c>
      <c r="D71" s="5" t="s">
        <v>21</v>
      </c>
      <c r="E71" s="5" t="s">
        <v>22</v>
      </c>
      <c r="F71" s="5" t="s">
        <v>20</v>
      </c>
      <c r="G71" s="5" t="n">
        <v>61</v>
      </c>
      <c r="H71" s="6" t="n">
        <v>12000</v>
      </c>
      <c r="I71" s="6" t="n">
        <f aca="false">G71*H71</f>
        <v>732000</v>
      </c>
      <c r="J71" s="6" t="n">
        <v>1259161</v>
      </c>
      <c r="K71" s="7" t="n">
        <f aca="false">IF(J71&gt;0,I71/J71,0)</f>
        <v>0.581339479224658</v>
      </c>
      <c r="L71" s="5" t="str">
        <f aca="false">IF(K71&gt;=1,"✅ Achieved","❌ Below Target")</f>
        <v>❌ Below Target</v>
      </c>
    </row>
    <row r="72" customFormat="false" ht="15" hidden="false" customHeight="false" outlineLevel="0" collapsed="false">
      <c r="A72" s="2" t="n">
        <v>71</v>
      </c>
      <c r="B72" s="2" t="s">
        <v>29</v>
      </c>
      <c r="C72" s="2" t="s">
        <v>30</v>
      </c>
      <c r="D72" s="2" t="s">
        <v>23</v>
      </c>
      <c r="E72" s="2" t="s">
        <v>24</v>
      </c>
      <c r="F72" s="2" t="s">
        <v>16</v>
      </c>
      <c r="G72" s="2" t="n">
        <v>38</v>
      </c>
      <c r="H72" s="3" t="n">
        <v>55000</v>
      </c>
      <c r="I72" s="3" t="n">
        <f aca="false">G72*H72</f>
        <v>2090000</v>
      </c>
      <c r="J72" s="3" t="n">
        <v>790102</v>
      </c>
      <c r="K72" s="4" t="n">
        <f aca="false">IF(J72&gt;0,I72/J72,0)</f>
        <v>2.64522808447517</v>
      </c>
      <c r="L72" s="2" t="str">
        <f aca="false">IF(K72&gt;=1,"✅ Achieved","❌ Below Target")</f>
        <v>✅ Achieved</v>
      </c>
    </row>
    <row r="73" customFormat="false" ht="15" hidden="false" customHeight="false" outlineLevel="0" collapsed="false">
      <c r="A73" s="5" t="n">
        <v>72</v>
      </c>
      <c r="B73" s="5" t="s">
        <v>29</v>
      </c>
      <c r="C73" s="5" t="s">
        <v>30</v>
      </c>
      <c r="D73" s="5" t="s">
        <v>23</v>
      </c>
      <c r="E73" s="5" t="s">
        <v>24</v>
      </c>
      <c r="F73" s="5" t="s">
        <v>17</v>
      </c>
      <c r="G73" s="5" t="n">
        <v>75</v>
      </c>
      <c r="H73" s="6" t="n">
        <v>18000</v>
      </c>
      <c r="I73" s="6" t="n">
        <f aca="false">G73*H73</f>
        <v>1350000</v>
      </c>
      <c r="J73" s="6" t="n">
        <v>1534977</v>
      </c>
      <c r="K73" s="7" t="n">
        <f aca="false">IF(J73&gt;0,I73/J73,0)</f>
        <v>0.879492005417671</v>
      </c>
      <c r="L73" s="5" t="str">
        <f aca="false">IF(K73&gt;=1,"✅ Achieved","❌ Below Target")</f>
        <v>❌ Below Target</v>
      </c>
    </row>
    <row r="74" customFormat="false" ht="15" hidden="false" customHeight="false" outlineLevel="0" collapsed="false">
      <c r="A74" s="2" t="n">
        <v>73</v>
      </c>
      <c r="B74" s="2" t="s">
        <v>29</v>
      </c>
      <c r="C74" s="2" t="s">
        <v>30</v>
      </c>
      <c r="D74" s="2" t="s">
        <v>23</v>
      </c>
      <c r="E74" s="2" t="s">
        <v>24</v>
      </c>
      <c r="F74" s="2" t="s">
        <v>18</v>
      </c>
      <c r="G74" s="2" t="n">
        <v>21</v>
      </c>
      <c r="H74" s="3" t="n">
        <v>28000</v>
      </c>
      <c r="I74" s="3" t="n">
        <f aca="false">G74*H74</f>
        <v>588000</v>
      </c>
      <c r="J74" s="3" t="n">
        <v>598810</v>
      </c>
      <c r="K74" s="4" t="n">
        <f aca="false">IF(J74&gt;0,I74/J74,0)</f>
        <v>0.981947529266378</v>
      </c>
      <c r="L74" s="2" t="str">
        <f aca="false">IF(K74&gt;=1,"✅ Achieved","❌ Below Target")</f>
        <v>❌ Below Target</v>
      </c>
    </row>
    <row r="75" customFormat="false" ht="15" hidden="false" customHeight="false" outlineLevel="0" collapsed="false">
      <c r="A75" s="5" t="n">
        <v>74</v>
      </c>
      <c r="B75" s="5" t="s">
        <v>29</v>
      </c>
      <c r="C75" s="5" t="s">
        <v>30</v>
      </c>
      <c r="D75" s="5" t="s">
        <v>23</v>
      </c>
      <c r="E75" s="5" t="s">
        <v>24</v>
      </c>
      <c r="F75" s="5" t="s">
        <v>19</v>
      </c>
      <c r="G75" s="5" t="n">
        <v>120</v>
      </c>
      <c r="H75" s="6" t="n">
        <v>3500</v>
      </c>
      <c r="I75" s="6" t="n">
        <f aca="false">G75*H75</f>
        <v>420000</v>
      </c>
      <c r="J75" s="6" t="n">
        <v>729950</v>
      </c>
      <c r="K75" s="7" t="n">
        <f aca="false">IF(J75&gt;0,I75/J75,0)</f>
        <v>0.575381875470923</v>
      </c>
      <c r="L75" s="5" t="str">
        <f aca="false">IF(K75&gt;=1,"✅ Achieved","❌ Below Target")</f>
        <v>❌ Below Target</v>
      </c>
    </row>
    <row r="76" customFormat="false" ht="15" hidden="false" customHeight="false" outlineLevel="0" collapsed="false">
      <c r="A76" s="2" t="n">
        <v>75</v>
      </c>
      <c r="B76" s="2" t="s">
        <v>29</v>
      </c>
      <c r="C76" s="2" t="s">
        <v>30</v>
      </c>
      <c r="D76" s="2" t="s">
        <v>23</v>
      </c>
      <c r="E76" s="2" t="s">
        <v>24</v>
      </c>
      <c r="F76" s="2" t="s">
        <v>20</v>
      </c>
      <c r="G76" s="2" t="n">
        <v>29</v>
      </c>
      <c r="H76" s="3" t="n">
        <v>12000</v>
      </c>
      <c r="I76" s="3" t="n">
        <f aca="false">G76*H76</f>
        <v>348000</v>
      </c>
      <c r="J76" s="3" t="n">
        <v>1815849</v>
      </c>
      <c r="K76" s="4" t="n">
        <f aca="false">IF(J76&gt;0,I76/J76,0)</f>
        <v>0.191645891260782</v>
      </c>
      <c r="L76" s="2" t="str">
        <f aca="false">IF(K76&gt;=1,"✅ Achieved","❌ Below Target")</f>
        <v>❌ Below Target</v>
      </c>
    </row>
    <row r="77" customFormat="false" ht="15" hidden="false" customHeight="false" outlineLevel="0" collapsed="false">
      <c r="A77" s="5" t="n">
        <v>76</v>
      </c>
      <c r="B77" s="5" t="s">
        <v>29</v>
      </c>
      <c r="C77" s="5" t="s">
        <v>30</v>
      </c>
      <c r="D77" s="5" t="s">
        <v>25</v>
      </c>
      <c r="E77" s="5" t="s">
        <v>26</v>
      </c>
      <c r="F77" s="5" t="s">
        <v>16</v>
      </c>
      <c r="G77" s="5" t="n">
        <v>30</v>
      </c>
      <c r="H77" s="6" t="n">
        <v>55000</v>
      </c>
      <c r="I77" s="6" t="n">
        <f aca="false">G77*H77</f>
        <v>1650000</v>
      </c>
      <c r="J77" s="6" t="n">
        <v>1927072</v>
      </c>
      <c r="K77" s="7" t="n">
        <f aca="false">IF(J77&gt;0,I77/J77,0)</f>
        <v>0.856221251722821</v>
      </c>
      <c r="L77" s="5" t="str">
        <f aca="false">IF(K77&gt;=1,"✅ Achieved","❌ Below Target")</f>
        <v>❌ Below Target</v>
      </c>
    </row>
    <row r="78" customFormat="false" ht="15" hidden="false" customHeight="false" outlineLevel="0" collapsed="false">
      <c r="A78" s="2" t="n">
        <v>77</v>
      </c>
      <c r="B78" s="2" t="s">
        <v>29</v>
      </c>
      <c r="C78" s="2" t="s">
        <v>30</v>
      </c>
      <c r="D78" s="2" t="s">
        <v>25</v>
      </c>
      <c r="E78" s="2" t="s">
        <v>26</v>
      </c>
      <c r="F78" s="2" t="s">
        <v>17</v>
      </c>
      <c r="G78" s="2" t="n">
        <v>64</v>
      </c>
      <c r="H78" s="3" t="n">
        <v>18000</v>
      </c>
      <c r="I78" s="3" t="n">
        <f aca="false">G78*H78</f>
        <v>1152000</v>
      </c>
      <c r="J78" s="3" t="n">
        <v>1750760</v>
      </c>
      <c r="K78" s="4" t="n">
        <f aca="false">IF(J78&gt;0,I78/J78,0)</f>
        <v>0.657999954305559</v>
      </c>
      <c r="L78" s="2" t="str">
        <f aca="false">IF(K78&gt;=1,"✅ Achieved","❌ Below Target")</f>
        <v>❌ Below Target</v>
      </c>
    </row>
    <row r="79" customFormat="false" ht="15" hidden="false" customHeight="false" outlineLevel="0" collapsed="false">
      <c r="A79" s="5" t="n">
        <v>78</v>
      </c>
      <c r="B79" s="5" t="s">
        <v>29</v>
      </c>
      <c r="C79" s="5" t="s">
        <v>30</v>
      </c>
      <c r="D79" s="5" t="s">
        <v>25</v>
      </c>
      <c r="E79" s="5" t="s">
        <v>26</v>
      </c>
      <c r="F79" s="5" t="s">
        <v>18</v>
      </c>
      <c r="G79" s="5" t="n">
        <v>18</v>
      </c>
      <c r="H79" s="6" t="n">
        <v>28000</v>
      </c>
      <c r="I79" s="6" t="n">
        <f aca="false">G79*H79</f>
        <v>504000</v>
      </c>
      <c r="J79" s="6" t="n">
        <v>1306915</v>
      </c>
      <c r="K79" s="7" t="n">
        <f aca="false">IF(J79&gt;0,I79/J79,0)</f>
        <v>0.385640994249817</v>
      </c>
      <c r="L79" s="5" t="str">
        <f aca="false">IF(K79&gt;=1,"✅ Achieved","❌ Below Target")</f>
        <v>❌ Below Target</v>
      </c>
    </row>
    <row r="80" customFormat="false" ht="15" hidden="false" customHeight="false" outlineLevel="0" collapsed="false">
      <c r="A80" s="2" t="n">
        <v>79</v>
      </c>
      <c r="B80" s="2" t="s">
        <v>29</v>
      </c>
      <c r="C80" s="2" t="s">
        <v>30</v>
      </c>
      <c r="D80" s="2" t="s">
        <v>25</v>
      </c>
      <c r="E80" s="2" t="s">
        <v>26</v>
      </c>
      <c r="F80" s="2" t="s">
        <v>19</v>
      </c>
      <c r="G80" s="2" t="n">
        <v>58</v>
      </c>
      <c r="H80" s="3" t="n">
        <v>3500</v>
      </c>
      <c r="I80" s="3" t="n">
        <f aca="false">G80*H80</f>
        <v>203000</v>
      </c>
      <c r="J80" s="3" t="n">
        <v>1749668</v>
      </c>
      <c r="K80" s="4" t="n">
        <f aca="false">IF(J80&gt;0,I80/J80,0)</f>
        <v>0.11602201103295</v>
      </c>
      <c r="L80" s="2" t="str">
        <f aca="false">IF(K80&gt;=1,"✅ Achieved","❌ Below Target")</f>
        <v>❌ Below Target</v>
      </c>
    </row>
    <row r="81" customFormat="false" ht="15" hidden="false" customHeight="false" outlineLevel="0" collapsed="false">
      <c r="A81" s="5" t="n">
        <v>80</v>
      </c>
      <c r="B81" s="5" t="s">
        <v>29</v>
      </c>
      <c r="C81" s="5" t="s">
        <v>30</v>
      </c>
      <c r="D81" s="5" t="s">
        <v>25</v>
      </c>
      <c r="E81" s="5" t="s">
        <v>26</v>
      </c>
      <c r="F81" s="5" t="s">
        <v>20</v>
      </c>
      <c r="G81" s="5" t="n">
        <v>69</v>
      </c>
      <c r="H81" s="6" t="n">
        <v>12000</v>
      </c>
      <c r="I81" s="6" t="n">
        <f aca="false">G81*H81</f>
        <v>828000</v>
      </c>
      <c r="J81" s="6" t="n">
        <v>1609633</v>
      </c>
      <c r="K81" s="7" t="n">
        <f aca="false">IF(J81&gt;0,I81/J81,0)</f>
        <v>0.514402972603072</v>
      </c>
      <c r="L81" s="5" t="str">
        <f aca="false">IF(K81&gt;=1,"✅ Achieved","❌ Below Target")</f>
        <v>❌ Below Target</v>
      </c>
    </row>
    <row r="82" customFormat="false" ht="15" hidden="false" customHeight="false" outlineLevel="0" collapsed="false">
      <c r="A82" s="2" t="n">
        <v>81</v>
      </c>
      <c r="B82" s="2" t="s">
        <v>31</v>
      </c>
      <c r="C82" s="2" t="s">
        <v>30</v>
      </c>
      <c r="D82" s="2" t="s">
        <v>14</v>
      </c>
      <c r="E82" s="2" t="s">
        <v>15</v>
      </c>
      <c r="F82" s="2" t="s">
        <v>16</v>
      </c>
      <c r="G82" s="2" t="n">
        <v>42</v>
      </c>
      <c r="H82" s="3" t="n">
        <v>55000</v>
      </c>
      <c r="I82" s="3" t="n">
        <f aca="false">G82*H82</f>
        <v>2310000</v>
      </c>
      <c r="J82" s="3" t="n">
        <v>1660198</v>
      </c>
      <c r="K82" s="4" t="n">
        <f aca="false">IF(J82&gt;0,I82/J82,0)</f>
        <v>1.39140030285544</v>
      </c>
      <c r="L82" s="2" t="str">
        <f aca="false">IF(K82&gt;=1,"✅ Achieved","❌ Below Target")</f>
        <v>✅ Achieved</v>
      </c>
    </row>
    <row r="83" customFormat="false" ht="15" hidden="false" customHeight="false" outlineLevel="0" collapsed="false">
      <c r="A83" s="5" t="n">
        <v>82</v>
      </c>
      <c r="B83" s="5" t="s">
        <v>31</v>
      </c>
      <c r="C83" s="5" t="s">
        <v>30</v>
      </c>
      <c r="D83" s="5" t="s">
        <v>14</v>
      </c>
      <c r="E83" s="5" t="s">
        <v>15</v>
      </c>
      <c r="F83" s="5" t="s">
        <v>17</v>
      </c>
      <c r="G83" s="5" t="n">
        <v>120</v>
      </c>
      <c r="H83" s="6" t="n">
        <v>18000</v>
      </c>
      <c r="I83" s="6" t="n">
        <f aca="false">G83*H83</f>
        <v>2160000</v>
      </c>
      <c r="J83" s="6" t="n">
        <v>524077</v>
      </c>
      <c r="K83" s="7" t="n">
        <f aca="false">IF(J83&gt;0,I83/J83,0)</f>
        <v>4.12153175964601</v>
      </c>
      <c r="L83" s="5" t="str">
        <f aca="false">IF(K83&gt;=1,"✅ Achieved","❌ Below Target")</f>
        <v>✅ Achieved</v>
      </c>
    </row>
    <row r="84" customFormat="false" ht="15" hidden="false" customHeight="false" outlineLevel="0" collapsed="false">
      <c r="A84" s="2" t="n">
        <v>83</v>
      </c>
      <c r="B84" s="2" t="s">
        <v>31</v>
      </c>
      <c r="C84" s="2" t="s">
        <v>30</v>
      </c>
      <c r="D84" s="2" t="s">
        <v>14</v>
      </c>
      <c r="E84" s="2" t="s">
        <v>15</v>
      </c>
      <c r="F84" s="2" t="s">
        <v>18</v>
      </c>
      <c r="G84" s="2" t="n">
        <v>97</v>
      </c>
      <c r="H84" s="3" t="n">
        <v>28000</v>
      </c>
      <c r="I84" s="3" t="n">
        <f aca="false">G84*H84</f>
        <v>2716000</v>
      </c>
      <c r="J84" s="3" t="n">
        <v>740232</v>
      </c>
      <c r="K84" s="4" t="n">
        <f aca="false">IF(J84&gt;0,I84/J84,0)</f>
        <v>3.66911995158275</v>
      </c>
      <c r="L84" s="2" t="str">
        <f aca="false">IF(K84&gt;=1,"✅ Achieved","❌ Below Target")</f>
        <v>✅ Achieved</v>
      </c>
    </row>
    <row r="85" customFormat="false" ht="15" hidden="false" customHeight="false" outlineLevel="0" collapsed="false">
      <c r="A85" s="5" t="n">
        <v>84</v>
      </c>
      <c r="B85" s="5" t="s">
        <v>31</v>
      </c>
      <c r="C85" s="5" t="s">
        <v>30</v>
      </c>
      <c r="D85" s="5" t="s">
        <v>14</v>
      </c>
      <c r="E85" s="5" t="s">
        <v>15</v>
      </c>
      <c r="F85" s="5" t="s">
        <v>19</v>
      </c>
      <c r="G85" s="5" t="n">
        <v>97</v>
      </c>
      <c r="H85" s="6" t="n">
        <v>3500</v>
      </c>
      <c r="I85" s="6" t="n">
        <f aca="false">G85*H85</f>
        <v>339500</v>
      </c>
      <c r="J85" s="6" t="n">
        <v>1626108</v>
      </c>
      <c r="K85" s="7" t="n">
        <f aca="false">IF(J85&gt;0,I85/J85,0)</f>
        <v>0.208780720591744</v>
      </c>
      <c r="L85" s="5" t="str">
        <f aca="false">IF(K85&gt;=1,"✅ Achieved","❌ Below Target")</f>
        <v>❌ Below Target</v>
      </c>
    </row>
    <row r="86" customFormat="false" ht="15" hidden="false" customHeight="false" outlineLevel="0" collapsed="false">
      <c r="A86" s="2" t="n">
        <v>85</v>
      </c>
      <c r="B86" s="2" t="s">
        <v>31</v>
      </c>
      <c r="C86" s="2" t="s">
        <v>30</v>
      </c>
      <c r="D86" s="2" t="s">
        <v>14</v>
      </c>
      <c r="E86" s="2" t="s">
        <v>15</v>
      </c>
      <c r="F86" s="2" t="s">
        <v>20</v>
      </c>
      <c r="G86" s="2" t="n">
        <v>106</v>
      </c>
      <c r="H86" s="3" t="n">
        <v>12000</v>
      </c>
      <c r="I86" s="3" t="n">
        <f aca="false">G86*H86</f>
        <v>1272000</v>
      </c>
      <c r="J86" s="3" t="n">
        <v>1059572</v>
      </c>
      <c r="K86" s="4" t="n">
        <f aca="false">IF(J86&gt;0,I86/J86,0)</f>
        <v>1.20048472402064</v>
      </c>
      <c r="L86" s="2" t="str">
        <f aca="false">IF(K86&gt;=1,"✅ Achieved","❌ Below Target")</f>
        <v>✅ Achieved</v>
      </c>
    </row>
    <row r="87" customFormat="false" ht="15" hidden="false" customHeight="false" outlineLevel="0" collapsed="false">
      <c r="A87" s="5" t="n">
        <v>86</v>
      </c>
      <c r="B87" s="5" t="s">
        <v>31</v>
      </c>
      <c r="C87" s="5" t="s">
        <v>30</v>
      </c>
      <c r="D87" s="5" t="s">
        <v>21</v>
      </c>
      <c r="E87" s="5" t="s">
        <v>22</v>
      </c>
      <c r="F87" s="5" t="s">
        <v>16</v>
      </c>
      <c r="G87" s="5" t="n">
        <v>108</v>
      </c>
      <c r="H87" s="6" t="n">
        <v>55000</v>
      </c>
      <c r="I87" s="6" t="n">
        <f aca="false">G87*H87</f>
        <v>5940000</v>
      </c>
      <c r="J87" s="6" t="n">
        <v>1844194</v>
      </c>
      <c r="K87" s="7" t="n">
        <f aca="false">IF(J87&gt;0,I87/J87,0)</f>
        <v>3.22091927421952</v>
      </c>
      <c r="L87" s="5" t="str">
        <f aca="false">IF(K87&gt;=1,"✅ Achieved","❌ Below Target")</f>
        <v>✅ Achieved</v>
      </c>
    </row>
    <row r="88" customFormat="false" ht="15" hidden="false" customHeight="false" outlineLevel="0" collapsed="false">
      <c r="A88" s="2" t="n">
        <v>87</v>
      </c>
      <c r="B88" s="2" t="s">
        <v>31</v>
      </c>
      <c r="C88" s="2" t="s">
        <v>30</v>
      </c>
      <c r="D88" s="2" t="s">
        <v>21</v>
      </c>
      <c r="E88" s="2" t="s">
        <v>22</v>
      </c>
      <c r="F88" s="2" t="s">
        <v>17</v>
      </c>
      <c r="G88" s="2" t="n">
        <v>53</v>
      </c>
      <c r="H88" s="3" t="n">
        <v>18000</v>
      </c>
      <c r="I88" s="3" t="n">
        <f aca="false">G88*H88</f>
        <v>954000</v>
      </c>
      <c r="J88" s="3" t="n">
        <v>733941</v>
      </c>
      <c r="K88" s="4" t="n">
        <f aca="false">IF(J88&gt;0,I88/J88,0)</f>
        <v>1.29983200284492</v>
      </c>
      <c r="L88" s="2" t="str">
        <f aca="false">IF(K88&gt;=1,"✅ Achieved","❌ Below Target")</f>
        <v>✅ Achieved</v>
      </c>
    </row>
    <row r="89" customFormat="false" ht="15" hidden="false" customHeight="false" outlineLevel="0" collapsed="false">
      <c r="A89" s="5" t="n">
        <v>88</v>
      </c>
      <c r="B89" s="5" t="s">
        <v>31</v>
      </c>
      <c r="C89" s="5" t="s">
        <v>30</v>
      </c>
      <c r="D89" s="5" t="s">
        <v>21</v>
      </c>
      <c r="E89" s="5" t="s">
        <v>22</v>
      </c>
      <c r="F89" s="5" t="s">
        <v>18</v>
      </c>
      <c r="G89" s="5" t="n">
        <v>47</v>
      </c>
      <c r="H89" s="6" t="n">
        <v>28000</v>
      </c>
      <c r="I89" s="6" t="n">
        <f aca="false">G89*H89</f>
        <v>1316000</v>
      </c>
      <c r="J89" s="6" t="n">
        <v>1411768</v>
      </c>
      <c r="K89" s="7" t="n">
        <f aca="false">IF(J89&gt;0,I89/J89,0)</f>
        <v>0.932164491616186</v>
      </c>
      <c r="L89" s="5" t="str">
        <f aca="false">IF(K89&gt;=1,"✅ Achieved","❌ Below Target")</f>
        <v>❌ Below Target</v>
      </c>
    </row>
    <row r="90" customFormat="false" ht="15" hidden="false" customHeight="false" outlineLevel="0" collapsed="false">
      <c r="A90" s="2" t="n">
        <v>89</v>
      </c>
      <c r="B90" s="2" t="s">
        <v>31</v>
      </c>
      <c r="C90" s="2" t="s">
        <v>30</v>
      </c>
      <c r="D90" s="2" t="s">
        <v>21</v>
      </c>
      <c r="E90" s="2" t="s">
        <v>22</v>
      </c>
      <c r="F90" s="2" t="s">
        <v>19</v>
      </c>
      <c r="G90" s="2" t="n">
        <v>30</v>
      </c>
      <c r="H90" s="3" t="n">
        <v>3500</v>
      </c>
      <c r="I90" s="3" t="n">
        <f aca="false">G90*H90</f>
        <v>105000</v>
      </c>
      <c r="J90" s="3" t="n">
        <v>1451527</v>
      </c>
      <c r="K90" s="4" t="n">
        <f aca="false">IF(J90&gt;0,I90/J90,0)</f>
        <v>0.0723376141125863</v>
      </c>
      <c r="L90" s="2" t="str">
        <f aca="false">IF(K90&gt;=1,"✅ Achieved","❌ Below Target")</f>
        <v>❌ Below Target</v>
      </c>
    </row>
    <row r="91" customFormat="false" ht="15" hidden="false" customHeight="false" outlineLevel="0" collapsed="false">
      <c r="A91" s="5" t="n">
        <v>90</v>
      </c>
      <c r="B91" s="5" t="s">
        <v>31</v>
      </c>
      <c r="C91" s="5" t="s">
        <v>30</v>
      </c>
      <c r="D91" s="5" t="s">
        <v>21</v>
      </c>
      <c r="E91" s="5" t="s">
        <v>22</v>
      </c>
      <c r="F91" s="5" t="s">
        <v>20</v>
      </c>
      <c r="G91" s="5" t="n">
        <v>10</v>
      </c>
      <c r="H91" s="6" t="n">
        <v>12000</v>
      </c>
      <c r="I91" s="6" t="n">
        <f aca="false">G91*H91</f>
        <v>120000</v>
      </c>
      <c r="J91" s="6" t="n">
        <v>1052366</v>
      </c>
      <c r="K91" s="7" t="n">
        <f aca="false">IF(J91&gt;0,I91/J91,0)</f>
        <v>0.114028769458534</v>
      </c>
      <c r="L91" s="5" t="str">
        <f aca="false">IF(K91&gt;=1,"✅ Achieved","❌ Below Target")</f>
        <v>❌ Below Target</v>
      </c>
    </row>
    <row r="92" customFormat="false" ht="15" hidden="false" customHeight="false" outlineLevel="0" collapsed="false">
      <c r="A92" s="2" t="n">
        <v>91</v>
      </c>
      <c r="B92" s="2" t="s">
        <v>31</v>
      </c>
      <c r="C92" s="2" t="s">
        <v>30</v>
      </c>
      <c r="D92" s="2" t="s">
        <v>23</v>
      </c>
      <c r="E92" s="2" t="s">
        <v>24</v>
      </c>
      <c r="F92" s="2" t="s">
        <v>16</v>
      </c>
      <c r="G92" s="2" t="n">
        <v>74</v>
      </c>
      <c r="H92" s="3" t="n">
        <v>55000</v>
      </c>
      <c r="I92" s="3" t="n">
        <f aca="false">G92*H92</f>
        <v>4070000</v>
      </c>
      <c r="J92" s="3" t="n">
        <v>874660</v>
      </c>
      <c r="K92" s="4" t="n">
        <f aca="false">IF(J92&gt;0,I92/J92,0)</f>
        <v>4.65323668625523</v>
      </c>
      <c r="L92" s="2" t="str">
        <f aca="false">IF(K92&gt;=1,"✅ Achieved","❌ Below Target")</f>
        <v>✅ Achieved</v>
      </c>
    </row>
    <row r="93" customFormat="false" ht="15" hidden="false" customHeight="false" outlineLevel="0" collapsed="false">
      <c r="A93" s="5" t="n">
        <v>92</v>
      </c>
      <c r="B93" s="5" t="s">
        <v>31</v>
      </c>
      <c r="C93" s="5" t="s">
        <v>30</v>
      </c>
      <c r="D93" s="5" t="s">
        <v>23</v>
      </c>
      <c r="E93" s="5" t="s">
        <v>24</v>
      </c>
      <c r="F93" s="5" t="s">
        <v>17</v>
      </c>
      <c r="G93" s="5" t="n">
        <v>74</v>
      </c>
      <c r="H93" s="6" t="n">
        <v>18000</v>
      </c>
      <c r="I93" s="6" t="n">
        <f aca="false">G93*H93</f>
        <v>1332000</v>
      </c>
      <c r="J93" s="6" t="n">
        <v>723159</v>
      </c>
      <c r="K93" s="7" t="n">
        <f aca="false">IF(J93&gt;0,I93/J93,0)</f>
        <v>1.84191858222051</v>
      </c>
      <c r="L93" s="5" t="str">
        <f aca="false">IF(K93&gt;=1,"✅ Achieved","❌ Below Target")</f>
        <v>✅ Achieved</v>
      </c>
    </row>
    <row r="94" customFormat="false" ht="15" hidden="false" customHeight="false" outlineLevel="0" collapsed="false">
      <c r="A94" s="2" t="n">
        <v>93</v>
      </c>
      <c r="B94" s="2" t="s">
        <v>31</v>
      </c>
      <c r="C94" s="2" t="s">
        <v>30</v>
      </c>
      <c r="D94" s="2" t="s">
        <v>23</v>
      </c>
      <c r="E94" s="2" t="s">
        <v>24</v>
      </c>
      <c r="F94" s="2" t="s">
        <v>18</v>
      </c>
      <c r="G94" s="2" t="n">
        <v>90</v>
      </c>
      <c r="H94" s="3" t="n">
        <v>28000</v>
      </c>
      <c r="I94" s="3" t="n">
        <f aca="false">G94*H94</f>
        <v>2520000</v>
      </c>
      <c r="J94" s="3" t="n">
        <v>1125884</v>
      </c>
      <c r="K94" s="4" t="n">
        <f aca="false">IF(J94&gt;0,I94/J94,0)</f>
        <v>2.23824123977248</v>
      </c>
      <c r="L94" s="2" t="str">
        <f aca="false">IF(K94&gt;=1,"✅ Achieved","❌ Below Target")</f>
        <v>✅ Achieved</v>
      </c>
    </row>
    <row r="95" customFormat="false" ht="15" hidden="false" customHeight="false" outlineLevel="0" collapsed="false">
      <c r="A95" s="5" t="n">
        <v>94</v>
      </c>
      <c r="B95" s="5" t="s">
        <v>31</v>
      </c>
      <c r="C95" s="5" t="s">
        <v>30</v>
      </c>
      <c r="D95" s="5" t="s">
        <v>23</v>
      </c>
      <c r="E95" s="5" t="s">
        <v>24</v>
      </c>
      <c r="F95" s="5" t="s">
        <v>19</v>
      </c>
      <c r="G95" s="5" t="n">
        <v>117</v>
      </c>
      <c r="H95" s="6" t="n">
        <v>3500</v>
      </c>
      <c r="I95" s="6" t="n">
        <f aca="false">G95*H95</f>
        <v>409500</v>
      </c>
      <c r="J95" s="6" t="n">
        <v>1839974</v>
      </c>
      <c r="K95" s="7" t="n">
        <f aca="false">IF(J95&gt;0,I95/J95,0)</f>
        <v>0.222557492660222</v>
      </c>
      <c r="L95" s="5" t="str">
        <f aca="false">IF(K95&gt;=1,"✅ Achieved","❌ Below Target")</f>
        <v>❌ Below Target</v>
      </c>
    </row>
    <row r="96" customFormat="false" ht="15" hidden="false" customHeight="false" outlineLevel="0" collapsed="false">
      <c r="A96" s="2" t="n">
        <v>95</v>
      </c>
      <c r="B96" s="2" t="s">
        <v>31</v>
      </c>
      <c r="C96" s="2" t="s">
        <v>30</v>
      </c>
      <c r="D96" s="2" t="s">
        <v>23</v>
      </c>
      <c r="E96" s="2" t="s">
        <v>24</v>
      </c>
      <c r="F96" s="2" t="s">
        <v>20</v>
      </c>
      <c r="G96" s="2" t="n">
        <v>74</v>
      </c>
      <c r="H96" s="3" t="n">
        <v>12000</v>
      </c>
      <c r="I96" s="3" t="n">
        <f aca="false">G96*H96</f>
        <v>888000</v>
      </c>
      <c r="J96" s="3" t="n">
        <v>1777103</v>
      </c>
      <c r="K96" s="4" t="n">
        <f aca="false">IF(J96&gt;0,I96/J96,0)</f>
        <v>0.499689663457886</v>
      </c>
      <c r="L96" s="2" t="str">
        <f aca="false">IF(K96&gt;=1,"✅ Achieved","❌ Below Target")</f>
        <v>❌ Below Target</v>
      </c>
    </row>
    <row r="97" customFormat="false" ht="15" hidden="false" customHeight="false" outlineLevel="0" collapsed="false">
      <c r="A97" s="5" t="n">
        <v>96</v>
      </c>
      <c r="B97" s="5" t="s">
        <v>31</v>
      </c>
      <c r="C97" s="5" t="s">
        <v>30</v>
      </c>
      <c r="D97" s="5" t="s">
        <v>25</v>
      </c>
      <c r="E97" s="5" t="s">
        <v>26</v>
      </c>
      <c r="F97" s="5" t="s">
        <v>16</v>
      </c>
      <c r="G97" s="5" t="n">
        <v>35</v>
      </c>
      <c r="H97" s="6" t="n">
        <v>55000</v>
      </c>
      <c r="I97" s="6" t="n">
        <f aca="false">G97*H97</f>
        <v>1925000</v>
      </c>
      <c r="J97" s="6" t="n">
        <v>820527</v>
      </c>
      <c r="K97" s="7" t="n">
        <f aca="false">IF(J97&gt;0,I97/J97,0)</f>
        <v>2.34605320726801</v>
      </c>
      <c r="L97" s="5" t="str">
        <f aca="false">IF(K97&gt;=1,"✅ Achieved","❌ Below Target")</f>
        <v>✅ Achieved</v>
      </c>
    </row>
    <row r="98" customFormat="false" ht="15" hidden="false" customHeight="false" outlineLevel="0" collapsed="false">
      <c r="A98" s="2" t="n">
        <v>97</v>
      </c>
      <c r="B98" s="2" t="s">
        <v>31</v>
      </c>
      <c r="C98" s="2" t="s">
        <v>30</v>
      </c>
      <c r="D98" s="2" t="s">
        <v>25</v>
      </c>
      <c r="E98" s="2" t="s">
        <v>26</v>
      </c>
      <c r="F98" s="2" t="s">
        <v>17</v>
      </c>
      <c r="G98" s="2" t="n">
        <v>57</v>
      </c>
      <c r="H98" s="3" t="n">
        <v>18000</v>
      </c>
      <c r="I98" s="3" t="n">
        <f aca="false">G98*H98</f>
        <v>1026000</v>
      </c>
      <c r="J98" s="3" t="n">
        <v>838792</v>
      </c>
      <c r="K98" s="4" t="n">
        <f aca="false">IF(J98&gt;0,I98/J98,0)</f>
        <v>1.22318763173707</v>
      </c>
      <c r="L98" s="2" t="str">
        <f aca="false">IF(K98&gt;=1,"✅ Achieved","❌ Below Target")</f>
        <v>✅ Achieved</v>
      </c>
    </row>
    <row r="99" customFormat="false" ht="15" hidden="false" customHeight="false" outlineLevel="0" collapsed="false">
      <c r="A99" s="5" t="n">
        <v>98</v>
      </c>
      <c r="B99" s="5" t="s">
        <v>31</v>
      </c>
      <c r="C99" s="5" t="s">
        <v>30</v>
      </c>
      <c r="D99" s="5" t="s">
        <v>25</v>
      </c>
      <c r="E99" s="5" t="s">
        <v>26</v>
      </c>
      <c r="F99" s="5" t="s">
        <v>18</v>
      </c>
      <c r="G99" s="5" t="n">
        <v>79</v>
      </c>
      <c r="H99" s="6" t="n">
        <v>28000</v>
      </c>
      <c r="I99" s="6" t="n">
        <f aca="false">G99*H99</f>
        <v>2212000</v>
      </c>
      <c r="J99" s="6" t="n">
        <v>1612232</v>
      </c>
      <c r="K99" s="7" t="n">
        <f aca="false">IF(J99&gt;0,I99/J99,0)</f>
        <v>1.37201097608781</v>
      </c>
      <c r="L99" s="5" t="str">
        <f aca="false">IF(K99&gt;=1,"✅ Achieved","❌ Below Target")</f>
        <v>✅ Achieved</v>
      </c>
    </row>
    <row r="100" customFormat="false" ht="15" hidden="false" customHeight="false" outlineLevel="0" collapsed="false">
      <c r="A100" s="2" t="n">
        <v>99</v>
      </c>
      <c r="B100" s="2" t="s">
        <v>31</v>
      </c>
      <c r="C100" s="2" t="s">
        <v>30</v>
      </c>
      <c r="D100" s="2" t="s">
        <v>25</v>
      </c>
      <c r="E100" s="2" t="s">
        <v>26</v>
      </c>
      <c r="F100" s="2" t="s">
        <v>19</v>
      </c>
      <c r="G100" s="2" t="n">
        <v>10</v>
      </c>
      <c r="H100" s="3" t="n">
        <v>3500</v>
      </c>
      <c r="I100" s="3" t="n">
        <f aca="false">G100*H100</f>
        <v>35000</v>
      </c>
      <c r="J100" s="3" t="n">
        <v>1756077</v>
      </c>
      <c r="K100" s="4" t="n">
        <f aca="false">IF(J100&gt;0,I100/J100,0)</f>
        <v>0.0199307889118757</v>
      </c>
      <c r="L100" s="2" t="str">
        <f aca="false">IF(K100&gt;=1,"✅ Achieved","❌ Below Target")</f>
        <v>❌ Below Target</v>
      </c>
    </row>
    <row r="101" customFormat="false" ht="15" hidden="false" customHeight="false" outlineLevel="0" collapsed="false">
      <c r="A101" s="5" t="n">
        <v>100</v>
      </c>
      <c r="B101" s="5" t="s">
        <v>31</v>
      </c>
      <c r="C101" s="5" t="s">
        <v>30</v>
      </c>
      <c r="D101" s="5" t="s">
        <v>25</v>
      </c>
      <c r="E101" s="5" t="s">
        <v>26</v>
      </c>
      <c r="F101" s="5" t="s">
        <v>20</v>
      </c>
      <c r="G101" s="5" t="n">
        <v>51</v>
      </c>
      <c r="H101" s="6" t="n">
        <v>12000</v>
      </c>
      <c r="I101" s="6" t="n">
        <f aca="false">G101*H101</f>
        <v>612000</v>
      </c>
      <c r="J101" s="6" t="n">
        <v>1524680</v>
      </c>
      <c r="K101" s="7" t="n">
        <f aca="false">IF(J101&gt;0,I101/J101,0)</f>
        <v>0.40139570270483</v>
      </c>
      <c r="L101" s="5" t="str">
        <f aca="false">IF(K101&gt;=1,"✅ Achieved","❌ Below Target")</f>
        <v>❌ Below Target</v>
      </c>
    </row>
    <row r="102" customFormat="false" ht="15" hidden="false" customHeight="false" outlineLevel="0" collapsed="false">
      <c r="A102" s="2" t="n">
        <v>101</v>
      </c>
      <c r="B102" s="2" t="s">
        <v>32</v>
      </c>
      <c r="C102" s="2" t="s">
        <v>30</v>
      </c>
      <c r="D102" s="2" t="s">
        <v>14</v>
      </c>
      <c r="E102" s="2" t="s">
        <v>15</v>
      </c>
      <c r="F102" s="2" t="s">
        <v>16</v>
      </c>
      <c r="G102" s="2" t="n">
        <v>12</v>
      </c>
      <c r="H102" s="3" t="n">
        <v>55000</v>
      </c>
      <c r="I102" s="3" t="n">
        <f aca="false">G102*H102</f>
        <v>660000</v>
      </c>
      <c r="J102" s="3" t="n">
        <v>734603</v>
      </c>
      <c r="K102" s="4" t="n">
        <f aca="false">IF(J102&gt;0,I102/J102,0)</f>
        <v>0.89844446592241</v>
      </c>
      <c r="L102" s="2" t="str">
        <f aca="false">IF(K102&gt;=1,"✅ Achieved","❌ Below Target")</f>
        <v>❌ Below Target</v>
      </c>
    </row>
    <row r="103" customFormat="false" ht="15" hidden="false" customHeight="false" outlineLevel="0" collapsed="false">
      <c r="A103" s="5" t="n">
        <v>102</v>
      </c>
      <c r="B103" s="5" t="s">
        <v>32</v>
      </c>
      <c r="C103" s="5" t="s">
        <v>30</v>
      </c>
      <c r="D103" s="5" t="s">
        <v>14</v>
      </c>
      <c r="E103" s="5" t="s">
        <v>15</v>
      </c>
      <c r="F103" s="5" t="s">
        <v>17</v>
      </c>
      <c r="G103" s="5" t="n">
        <v>56</v>
      </c>
      <c r="H103" s="6" t="n">
        <v>18000</v>
      </c>
      <c r="I103" s="6" t="n">
        <f aca="false">G103*H103</f>
        <v>1008000</v>
      </c>
      <c r="J103" s="6" t="n">
        <v>1144903</v>
      </c>
      <c r="K103" s="7" t="n">
        <f aca="false">IF(J103&gt;0,I103/J103,0)</f>
        <v>0.880423931110321</v>
      </c>
      <c r="L103" s="5" t="str">
        <f aca="false">IF(K103&gt;=1,"✅ Achieved","❌ Below Target")</f>
        <v>❌ Below Target</v>
      </c>
    </row>
    <row r="104" customFormat="false" ht="15" hidden="false" customHeight="false" outlineLevel="0" collapsed="false">
      <c r="A104" s="2" t="n">
        <v>103</v>
      </c>
      <c r="B104" s="2" t="s">
        <v>32</v>
      </c>
      <c r="C104" s="2" t="s">
        <v>30</v>
      </c>
      <c r="D104" s="2" t="s">
        <v>14</v>
      </c>
      <c r="E104" s="2" t="s">
        <v>15</v>
      </c>
      <c r="F104" s="2" t="s">
        <v>18</v>
      </c>
      <c r="G104" s="2" t="n">
        <v>40</v>
      </c>
      <c r="H104" s="3" t="n">
        <v>28000</v>
      </c>
      <c r="I104" s="3" t="n">
        <f aca="false">G104*H104</f>
        <v>1120000</v>
      </c>
      <c r="J104" s="3" t="n">
        <v>621477</v>
      </c>
      <c r="K104" s="4" t="n">
        <f aca="false">IF(J104&gt;0,I104/J104,0)</f>
        <v>1.80215840650579</v>
      </c>
      <c r="L104" s="2" t="str">
        <f aca="false">IF(K104&gt;=1,"✅ Achieved","❌ Below Target")</f>
        <v>✅ Achieved</v>
      </c>
    </row>
    <row r="105" customFormat="false" ht="15" hidden="false" customHeight="false" outlineLevel="0" collapsed="false">
      <c r="A105" s="5" t="n">
        <v>104</v>
      </c>
      <c r="B105" s="5" t="s">
        <v>32</v>
      </c>
      <c r="C105" s="5" t="s">
        <v>30</v>
      </c>
      <c r="D105" s="5" t="s">
        <v>14</v>
      </c>
      <c r="E105" s="5" t="s">
        <v>15</v>
      </c>
      <c r="F105" s="5" t="s">
        <v>19</v>
      </c>
      <c r="G105" s="5" t="n">
        <v>40</v>
      </c>
      <c r="H105" s="6" t="n">
        <v>3500</v>
      </c>
      <c r="I105" s="6" t="n">
        <f aca="false">G105*H105</f>
        <v>140000</v>
      </c>
      <c r="J105" s="6" t="n">
        <v>1689833</v>
      </c>
      <c r="K105" s="7" t="n">
        <f aca="false">IF(J105&gt;0,I105/J105,0)</f>
        <v>0.0828484234832673</v>
      </c>
      <c r="L105" s="5" t="str">
        <f aca="false">IF(K105&gt;=1,"✅ Achieved","❌ Below Target")</f>
        <v>❌ Below Target</v>
      </c>
    </row>
    <row r="106" customFormat="false" ht="15" hidden="false" customHeight="false" outlineLevel="0" collapsed="false">
      <c r="A106" s="2" t="n">
        <v>105</v>
      </c>
      <c r="B106" s="2" t="s">
        <v>32</v>
      </c>
      <c r="C106" s="2" t="s">
        <v>30</v>
      </c>
      <c r="D106" s="2" t="s">
        <v>14</v>
      </c>
      <c r="E106" s="2" t="s">
        <v>15</v>
      </c>
      <c r="F106" s="2" t="s">
        <v>20</v>
      </c>
      <c r="G106" s="2" t="n">
        <v>20</v>
      </c>
      <c r="H106" s="3" t="n">
        <v>12000</v>
      </c>
      <c r="I106" s="3" t="n">
        <f aca="false">G106*H106</f>
        <v>240000</v>
      </c>
      <c r="J106" s="3" t="n">
        <v>679628</v>
      </c>
      <c r="K106" s="4" t="n">
        <f aca="false">IF(J106&gt;0,I106/J106,0)</f>
        <v>0.353134361739069</v>
      </c>
      <c r="L106" s="2" t="str">
        <f aca="false">IF(K106&gt;=1,"✅ Achieved","❌ Below Target")</f>
        <v>❌ Below Target</v>
      </c>
    </row>
    <row r="107" customFormat="false" ht="15" hidden="false" customHeight="false" outlineLevel="0" collapsed="false">
      <c r="A107" s="5" t="n">
        <v>106</v>
      </c>
      <c r="B107" s="5" t="s">
        <v>32</v>
      </c>
      <c r="C107" s="5" t="s">
        <v>30</v>
      </c>
      <c r="D107" s="5" t="s">
        <v>21</v>
      </c>
      <c r="E107" s="5" t="s">
        <v>22</v>
      </c>
      <c r="F107" s="5" t="s">
        <v>16</v>
      </c>
      <c r="G107" s="5" t="n">
        <v>103</v>
      </c>
      <c r="H107" s="6" t="n">
        <v>55000</v>
      </c>
      <c r="I107" s="6" t="n">
        <f aca="false">G107*H107</f>
        <v>5665000</v>
      </c>
      <c r="J107" s="6" t="n">
        <v>1519195</v>
      </c>
      <c r="K107" s="7" t="n">
        <f aca="false">IF(J107&gt;0,I107/J107,0)</f>
        <v>3.72894855499129</v>
      </c>
      <c r="L107" s="5" t="str">
        <f aca="false">IF(K107&gt;=1,"✅ Achieved","❌ Below Target")</f>
        <v>✅ Achieved</v>
      </c>
    </row>
    <row r="108" customFormat="false" ht="15" hidden="false" customHeight="false" outlineLevel="0" collapsed="false">
      <c r="A108" s="2" t="n">
        <v>107</v>
      </c>
      <c r="B108" s="2" t="s">
        <v>32</v>
      </c>
      <c r="C108" s="2" t="s">
        <v>30</v>
      </c>
      <c r="D108" s="2" t="s">
        <v>21</v>
      </c>
      <c r="E108" s="2" t="s">
        <v>22</v>
      </c>
      <c r="F108" s="2" t="s">
        <v>17</v>
      </c>
      <c r="G108" s="2" t="n">
        <v>114</v>
      </c>
      <c r="H108" s="3" t="n">
        <v>18000</v>
      </c>
      <c r="I108" s="3" t="n">
        <f aca="false">G108*H108</f>
        <v>2052000</v>
      </c>
      <c r="J108" s="3" t="n">
        <v>645149</v>
      </c>
      <c r="K108" s="4" t="n">
        <f aca="false">IF(J108&gt;0,I108/J108,0)</f>
        <v>3.18066059158427</v>
      </c>
      <c r="L108" s="2" t="str">
        <f aca="false">IF(K108&gt;=1,"✅ Achieved","❌ Below Target")</f>
        <v>✅ Achieved</v>
      </c>
    </row>
    <row r="109" customFormat="false" ht="15" hidden="false" customHeight="false" outlineLevel="0" collapsed="false">
      <c r="A109" s="5" t="n">
        <v>108</v>
      </c>
      <c r="B109" s="5" t="s">
        <v>32</v>
      </c>
      <c r="C109" s="5" t="s">
        <v>30</v>
      </c>
      <c r="D109" s="5" t="s">
        <v>21</v>
      </c>
      <c r="E109" s="5" t="s">
        <v>22</v>
      </c>
      <c r="F109" s="5" t="s">
        <v>18</v>
      </c>
      <c r="G109" s="5" t="n">
        <v>107</v>
      </c>
      <c r="H109" s="6" t="n">
        <v>28000</v>
      </c>
      <c r="I109" s="6" t="n">
        <f aca="false">G109*H109</f>
        <v>2996000</v>
      </c>
      <c r="J109" s="6" t="n">
        <v>1617165</v>
      </c>
      <c r="K109" s="7" t="n">
        <f aca="false">IF(J109&gt;0,I109/J109,0)</f>
        <v>1.85262480946595</v>
      </c>
      <c r="L109" s="5" t="str">
        <f aca="false">IF(K109&gt;=1,"✅ Achieved","❌ Below Target")</f>
        <v>✅ Achieved</v>
      </c>
    </row>
    <row r="110" customFormat="false" ht="15" hidden="false" customHeight="false" outlineLevel="0" collapsed="false">
      <c r="A110" s="2" t="n">
        <v>109</v>
      </c>
      <c r="B110" s="2" t="s">
        <v>32</v>
      </c>
      <c r="C110" s="2" t="s">
        <v>30</v>
      </c>
      <c r="D110" s="2" t="s">
        <v>21</v>
      </c>
      <c r="E110" s="2" t="s">
        <v>22</v>
      </c>
      <c r="F110" s="2" t="s">
        <v>19</v>
      </c>
      <c r="G110" s="2" t="n">
        <v>108</v>
      </c>
      <c r="H110" s="3" t="n">
        <v>3500</v>
      </c>
      <c r="I110" s="3" t="n">
        <f aca="false">G110*H110</f>
        <v>378000</v>
      </c>
      <c r="J110" s="3" t="n">
        <v>763738</v>
      </c>
      <c r="K110" s="4" t="n">
        <f aca="false">IF(J110&gt;0,I110/J110,0)</f>
        <v>0.494934126624575</v>
      </c>
      <c r="L110" s="2" t="str">
        <f aca="false">IF(K110&gt;=1,"✅ Achieved","❌ Below Target")</f>
        <v>❌ Below Target</v>
      </c>
    </row>
    <row r="111" customFormat="false" ht="15" hidden="false" customHeight="false" outlineLevel="0" collapsed="false">
      <c r="A111" s="5" t="n">
        <v>110</v>
      </c>
      <c r="B111" s="5" t="s">
        <v>32</v>
      </c>
      <c r="C111" s="5" t="s">
        <v>30</v>
      </c>
      <c r="D111" s="5" t="s">
        <v>21</v>
      </c>
      <c r="E111" s="5" t="s">
        <v>22</v>
      </c>
      <c r="F111" s="5" t="s">
        <v>20</v>
      </c>
      <c r="G111" s="5" t="n">
        <v>26</v>
      </c>
      <c r="H111" s="6" t="n">
        <v>12000</v>
      </c>
      <c r="I111" s="6" t="n">
        <f aca="false">G111*H111</f>
        <v>312000</v>
      </c>
      <c r="J111" s="6" t="n">
        <v>1883597</v>
      </c>
      <c r="K111" s="7" t="n">
        <f aca="false">IF(J111&gt;0,I111/J111,0)</f>
        <v>0.16564052714036</v>
      </c>
      <c r="L111" s="5" t="str">
        <f aca="false">IF(K111&gt;=1,"✅ Achieved","❌ Below Target")</f>
        <v>❌ Below Target</v>
      </c>
    </row>
    <row r="112" customFormat="false" ht="15" hidden="false" customHeight="false" outlineLevel="0" collapsed="false">
      <c r="A112" s="2" t="n">
        <v>111</v>
      </c>
      <c r="B112" s="2" t="s">
        <v>32</v>
      </c>
      <c r="C112" s="2" t="s">
        <v>30</v>
      </c>
      <c r="D112" s="2" t="s">
        <v>23</v>
      </c>
      <c r="E112" s="2" t="s">
        <v>24</v>
      </c>
      <c r="F112" s="2" t="s">
        <v>16</v>
      </c>
      <c r="G112" s="2" t="n">
        <v>70</v>
      </c>
      <c r="H112" s="3" t="n">
        <v>55000</v>
      </c>
      <c r="I112" s="3" t="n">
        <f aca="false">G112*H112</f>
        <v>3850000</v>
      </c>
      <c r="J112" s="3" t="n">
        <v>1653021</v>
      </c>
      <c r="K112" s="4" t="n">
        <f aca="false">IF(J112&gt;0,I112/J112,0)</f>
        <v>2.32906901969182</v>
      </c>
      <c r="L112" s="2" t="str">
        <f aca="false">IF(K112&gt;=1,"✅ Achieved","❌ Below Target")</f>
        <v>✅ Achieved</v>
      </c>
    </row>
    <row r="113" customFormat="false" ht="15" hidden="false" customHeight="false" outlineLevel="0" collapsed="false">
      <c r="A113" s="5" t="n">
        <v>112</v>
      </c>
      <c r="B113" s="5" t="s">
        <v>32</v>
      </c>
      <c r="C113" s="5" t="s">
        <v>30</v>
      </c>
      <c r="D113" s="5" t="s">
        <v>23</v>
      </c>
      <c r="E113" s="5" t="s">
        <v>24</v>
      </c>
      <c r="F113" s="5" t="s">
        <v>17</v>
      </c>
      <c r="G113" s="5" t="n">
        <v>31</v>
      </c>
      <c r="H113" s="6" t="n">
        <v>18000</v>
      </c>
      <c r="I113" s="6" t="n">
        <f aca="false">G113*H113</f>
        <v>558000</v>
      </c>
      <c r="J113" s="6" t="n">
        <v>1055864</v>
      </c>
      <c r="K113" s="7" t="n">
        <f aca="false">IF(J113&gt;0,I113/J113,0)</f>
        <v>0.528477152360531</v>
      </c>
      <c r="L113" s="5" t="str">
        <f aca="false">IF(K113&gt;=1,"✅ Achieved","❌ Below Target")</f>
        <v>❌ Below Target</v>
      </c>
    </row>
    <row r="114" customFormat="false" ht="15" hidden="false" customHeight="false" outlineLevel="0" collapsed="false">
      <c r="A114" s="2" t="n">
        <v>113</v>
      </c>
      <c r="B114" s="2" t="s">
        <v>32</v>
      </c>
      <c r="C114" s="2" t="s">
        <v>30</v>
      </c>
      <c r="D114" s="2" t="s">
        <v>23</v>
      </c>
      <c r="E114" s="2" t="s">
        <v>24</v>
      </c>
      <c r="F114" s="2" t="s">
        <v>18</v>
      </c>
      <c r="G114" s="2" t="n">
        <v>77</v>
      </c>
      <c r="H114" s="3" t="n">
        <v>28000</v>
      </c>
      <c r="I114" s="3" t="n">
        <f aca="false">G114*H114</f>
        <v>2156000</v>
      </c>
      <c r="J114" s="3" t="n">
        <v>1772119</v>
      </c>
      <c r="K114" s="4" t="n">
        <f aca="false">IF(J114&gt;0,I114/J114,0)</f>
        <v>1.21662258572929</v>
      </c>
      <c r="L114" s="2" t="str">
        <f aca="false">IF(K114&gt;=1,"✅ Achieved","❌ Below Target")</f>
        <v>✅ Achieved</v>
      </c>
    </row>
    <row r="115" customFormat="false" ht="15" hidden="false" customHeight="false" outlineLevel="0" collapsed="false">
      <c r="A115" s="5" t="n">
        <v>114</v>
      </c>
      <c r="B115" s="5" t="s">
        <v>32</v>
      </c>
      <c r="C115" s="5" t="s">
        <v>30</v>
      </c>
      <c r="D115" s="5" t="s">
        <v>23</v>
      </c>
      <c r="E115" s="5" t="s">
        <v>24</v>
      </c>
      <c r="F115" s="5" t="s">
        <v>19</v>
      </c>
      <c r="G115" s="5" t="n">
        <v>64</v>
      </c>
      <c r="H115" s="6" t="n">
        <v>3500</v>
      </c>
      <c r="I115" s="6" t="n">
        <f aca="false">G115*H115</f>
        <v>224000</v>
      </c>
      <c r="J115" s="6" t="n">
        <v>944173</v>
      </c>
      <c r="K115" s="7" t="n">
        <f aca="false">IF(J115&gt;0,I115/J115,0)</f>
        <v>0.237244657493913</v>
      </c>
      <c r="L115" s="5" t="str">
        <f aca="false">IF(K115&gt;=1,"✅ Achieved","❌ Below Target")</f>
        <v>❌ Below Target</v>
      </c>
    </row>
    <row r="116" customFormat="false" ht="15" hidden="false" customHeight="false" outlineLevel="0" collapsed="false">
      <c r="A116" s="2" t="n">
        <v>115</v>
      </c>
      <c r="B116" s="2" t="s">
        <v>32</v>
      </c>
      <c r="C116" s="2" t="s">
        <v>30</v>
      </c>
      <c r="D116" s="2" t="s">
        <v>23</v>
      </c>
      <c r="E116" s="2" t="s">
        <v>24</v>
      </c>
      <c r="F116" s="2" t="s">
        <v>20</v>
      </c>
      <c r="G116" s="2" t="n">
        <v>79</v>
      </c>
      <c r="H116" s="3" t="n">
        <v>12000</v>
      </c>
      <c r="I116" s="3" t="n">
        <f aca="false">G116*H116</f>
        <v>948000</v>
      </c>
      <c r="J116" s="3" t="n">
        <v>1946757</v>
      </c>
      <c r="K116" s="4" t="n">
        <f aca="false">IF(J116&gt;0,I116/J116,0)</f>
        <v>0.486963704252765</v>
      </c>
      <c r="L116" s="2" t="str">
        <f aca="false">IF(K116&gt;=1,"✅ Achieved","❌ Below Target")</f>
        <v>❌ Below Target</v>
      </c>
    </row>
    <row r="117" customFormat="false" ht="15" hidden="false" customHeight="false" outlineLevel="0" collapsed="false">
      <c r="A117" s="5" t="n">
        <v>116</v>
      </c>
      <c r="B117" s="5" t="s">
        <v>32</v>
      </c>
      <c r="C117" s="5" t="s">
        <v>30</v>
      </c>
      <c r="D117" s="5" t="s">
        <v>25</v>
      </c>
      <c r="E117" s="5" t="s">
        <v>26</v>
      </c>
      <c r="F117" s="5" t="s">
        <v>16</v>
      </c>
      <c r="G117" s="5" t="n">
        <v>35</v>
      </c>
      <c r="H117" s="6" t="n">
        <v>55000</v>
      </c>
      <c r="I117" s="6" t="n">
        <f aca="false">G117*H117</f>
        <v>1925000</v>
      </c>
      <c r="J117" s="6" t="n">
        <v>1995162</v>
      </c>
      <c r="K117" s="7" t="n">
        <f aca="false">IF(J117&gt;0,I117/J117,0)</f>
        <v>0.964833933284616</v>
      </c>
      <c r="L117" s="5" t="str">
        <f aca="false">IF(K117&gt;=1,"✅ Achieved","❌ Below Target")</f>
        <v>❌ Below Target</v>
      </c>
    </row>
    <row r="118" customFormat="false" ht="15" hidden="false" customHeight="false" outlineLevel="0" collapsed="false">
      <c r="A118" s="2" t="n">
        <v>117</v>
      </c>
      <c r="B118" s="2" t="s">
        <v>32</v>
      </c>
      <c r="C118" s="2" t="s">
        <v>30</v>
      </c>
      <c r="D118" s="2" t="s">
        <v>25</v>
      </c>
      <c r="E118" s="2" t="s">
        <v>26</v>
      </c>
      <c r="F118" s="2" t="s">
        <v>17</v>
      </c>
      <c r="G118" s="2" t="n">
        <v>49</v>
      </c>
      <c r="H118" s="3" t="n">
        <v>18000</v>
      </c>
      <c r="I118" s="3" t="n">
        <f aca="false">G118*H118</f>
        <v>882000</v>
      </c>
      <c r="J118" s="3" t="n">
        <v>1336747</v>
      </c>
      <c r="K118" s="4" t="n">
        <f aca="false">IF(J118&gt;0,I118/J118,0)</f>
        <v>0.659810719605131</v>
      </c>
      <c r="L118" s="2" t="str">
        <f aca="false">IF(K118&gt;=1,"✅ Achieved","❌ Below Target")</f>
        <v>❌ Below Target</v>
      </c>
    </row>
    <row r="119" customFormat="false" ht="15" hidden="false" customHeight="false" outlineLevel="0" collapsed="false">
      <c r="A119" s="5" t="n">
        <v>118</v>
      </c>
      <c r="B119" s="5" t="s">
        <v>32</v>
      </c>
      <c r="C119" s="5" t="s">
        <v>30</v>
      </c>
      <c r="D119" s="5" t="s">
        <v>25</v>
      </c>
      <c r="E119" s="5" t="s">
        <v>26</v>
      </c>
      <c r="F119" s="5" t="s">
        <v>18</v>
      </c>
      <c r="G119" s="5" t="n">
        <v>95</v>
      </c>
      <c r="H119" s="6" t="n">
        <v>28000</v>
      </c>
      <c r="I119" s="6" t="n">
        <f aca="false">G119*H119</f>
        <v>2660000</v>
      </c>
      <c r="J119" s="6" t="n">
        <v>1862893</v>
      </c>
      <c r="K119" s="7" t="n">
        <f aca="false">IF(J119&gt;0,I119/J119,0)</f>
        <v>1.42788662580191</v>
      </c>
      <c r="L119" s="5" t="str">
        <f aca="false">IF(K119&gt;=1,"✅ Achieved","❌ Below Target")</f>
        <v>✅ Achieved</v>
      </c>
    </row>
    <row r="120" customFormat="false" ht="15" hidden="false" customHeight="false" outlineLevel="0" collapsed="false">
      <c r="A120" s="2" t="n">
        <v>119</v>
      </c>
      <c r="B120" s="2" t="s">
        <v>32</v>
      </c>
      <c r="C120" s="2" t="s">
        <v>30</v>
      </c>
      <c r="D120" s="2" t="s">
        <v>25</v>
      </c>
      <c r="E120" s="2" t="s">
        <v>26</v>
      </c>
      <c r="F120" s="2" t="s">
        <v>19</v>
      </c>
      <c r="G120" s="2" t="n">
        <v>57</v>
      </c>
      <c r="H120" s="3" t="n">
        <v>3500</v>
      </c>
      <c r="I120" s="3" t="n">
        <f aca="false">G120*H120</f>
        <v>199500</v>
      </c>
      <c r="J120" s="3" t="n">
        <v>1418762</v>
      </c>
      <c r="K120" s="4" t="n">
        <f aca="false">IF(J120&gt;0,I120/J120,0)</f>
        <v>0.140615550740716</v>
      </c>
      <c r="L120" s="2" t="str">
        <f aca="false">IF(K120&gt;=1,"✅ Achieved","❌ Below Target")</f>
        <v>❌ Below Target</v>
      </c>
    </row>
    <row r="121" customFormat="false" ht="15" hidden="false" customHeight="false" outlineLevel="0" collapsed="false">
      <c r="A121" s="5" t="n">
        <v>120</v>
      </c>
      <c r="B121" s="5" t="s">
        <v>32</v>
      </c>
      <c r="C121" s="5" t="s">
        <v>30</v>
      </c>
      <c r="D121" s="5" t="s">
        <v>25</v>
      </c>
      <c r="E121" s="5" t="s">
        <v>26</v>
      </c>
      <c r="F121" s="5" t="s">
        <v>20</v>
      </c>
      <c r="G121" s="5" t="n">
        <v>76</v>
      </c>
      <c r="H121" s="6" t="n">
        <v>12000</v>
      </c>
      <c r="I121" s="6" t="n">
        <f aca="false">G121*H121</f>
        <v>912000</v>
      </c>
      <c r="J121" s="6" t="n">
        <v>1446835</v>
      </c>
      <c r="K121" s="7" t="n">
        <f aca="false">IF(J121&gt;0,I121/J121,0)</f>
        <v>0.630341400367008</v>
      </c>
      <c r="L121" s="5" t="str">
        <f aca="false">IF(K121&gt;=1,"✅ Achieved","❌ Below Target")</f>
        <v>❌ Below Target</v>
      </c>
    </row>
    <row r="122" customFormat="false" ht="15" hidden="false" customHeight="false" outlineLevel="0" collapsed="false">
      <c r="A122" s="2" t="n">
        <v>121</v>
      </c>
      <c r="B122" s="2" t="s">
        <v>33</v>
      </c>
      <c r="C122" s="2" t="s">
        <v>34</v>
      </c>
      <c r="D122" s="2" t="s">
        <v>14</v>
      </c>
      <c r="E122" s="2" t="s">
        <v>15</v>
      </c>
      <c r="F122" s="2" t="s">
        <v>16</v>
      </c>
      <c r="G122" s="2" t="n">
        <v>25</v>
      </c>
      <c r="H122" s="3" t="n">
        <v>55000</v>
      </c>
      <c r="I122" s="3" t="n">
        <f aca="false">G122*H122</f>
        <v>1375000</v>
      </c>
      <c r="J122" s="3" t="n">
        <v>1019895</v>
      </c>
      <c r="K122" s="4" t="n">
        <f aca="false">IF(J122&gt;0,I122/J122,0)</f>
        <v>1.34817799871555</v>
      </c>
      <c r="L122" s="2" t="str">
        <f aca="false">IF(K122&gt;=1,"✅ Achieved","❌ Below Target")</f>
        <v>✅ Achieved</v>
      </c>
    </row>
    <row r="123" customFormat="false" ht="15" hidden="false" customHeight="false" outlineLevel="0" collapsed="false">
      <c r="A123" s="5" t="n">
        <v>122</v>
      </c>
      <c r="B123" s="5" t="s">
        <v>33</v>
      </c>
      <c r="C123" s="5" t="s">
        <v>34</v>
      </c>
      <c r="D123" s="5" t="s">
        <v>14</v>
      </c>
      <c r="E123" s="5" t="s">
        <v>15</v>
      </c>
      <c r="F123" s="5" t="s">
        <v>17</v>
      </c>
      <c r="G123" s="5" t="n">
        <v>38</v>
      </c>
      <c r="H123" s="6" t="n">
        <v>18000</v>
      </c>
      <c r="I123" s="6" t="n">
        <f aca="false">G123*H123</f>
        <v>684000</v>
      </c>
      <c r="J123" s="6" t="n">
        <v>634272</v>
      </c>
      <c r="K123" s="7" t="n">
        <f aca="false">IF(J123&gt;0,I123/J123,0)</f>
        <v>1.07840169517179</v>
      </c>
      <c r="L123" s="5" t="str">
        <f aca="false">IF(K123&gt;=1,"✅ Achieved","❌ Below Target")</f>
        <v>✅ Achieved</v>
      </c>
    </row>
    <row r="124" customFormat="false" ht="15" hidden="false" customHeight="false" outlineLevel="0" collapsed="false">
      <c r="A124" s="2" t="n">
        <v>123</v>
      </c>
      <c r="B124" s="2" t="s">
        <v>33</v>
      </c>
      <c r="C124" s="2" t="s">
        <v>34</v>
      </c>
      <c r="D124" s="2" t="s">
        <v>14</v>
      </c>
      <c r="E124" s="2" t="s">
        <v>15</v>
      </c>
      <c r="F124" s="2" t="s">
        <v>18</v>
      </c>
      <c r="G124" s="2" t="n">
        <v>53</v>
      </c>
      <c r="H124" s="3" t="n">
        <v>28000</v>
      </c>
      <c r="I124" s="3" t="n">
        <f aca="false">G124*H124</f>
        <v>1484000</v>
      </c>
      <c r="J124" s="3" t="n">
        <v>544112</v>
      </c>
      <c r="K124" s="4" t="n">
        <f aca="false">IF(J124&gt;0,I124/J124,0)</f>
        <v>2.72737965712941</v>
      </c>
      <c r="L124" s="2" t="str">
        <f aca="false">IF(K124&gt;=1,"✅ Achieved","❌ Below Target")</f>
        <v>✅ Achieved</v>
      </c>
    </row>
    <row r="125" customFormat="false" ht="15" hidden="false" customHeight="false" outlineLevel="0" collapsed="false">
      <c r="A125" s="5" t="n">
        <v>124</v>
      </c>
      <c r="B125" s="5" t="s">
        <v>33</v>
      </c>
      <c r="C125" s="5" t="s">
        <v>34</v>
      </c>
      <c r="D125" s="5" t="s">
        <v>14</v>
      </c>
      <c r="E125" s="5" t="s">
        <v>15</v>
      </c>
      <c r="F125" s="5" t="s">
        <v>19</v>
      </c>
      <c r="G125" s="5" t="n">
        <v>85</v>
      </c>
      <c r="H125" s="6" t="n">
        <v>3500</v>
      </c>
      <c r="I125" s="6" t="n">
        <f aca="false">G125*H125</f>
        <v>297500</v>
      </c>
      <c r="J125" s="6" t="n">
        <v>1661657</v>
      </c>
      <c r="K125" s="7" t="n">
        <f aca="false">IF(J125&gt;0,I125/J125,0)</f>
        <v>0.179038152879926</v>
      </c>
      <c r="L125" s="5" t="str">
        <f aca="false">IF(K125&gt;=1,"✅ Achieved","❌ Below Target")</f>
        <v>❌ Below Target</v>
      </c>
    </row>
    <row r="126" customFormat="false" ht="15" hidden="false" customHeight="false" outlineLevel="0" collapsed="false">
      <c r="A126" s="2" t="n">
        <v>125</v>
      </c>
      <c r="B126" s="2" t="s">
        <v>33</v>
      </c>
      <c r="C126" s="2" t="s">
        <v>34</v>
      </c>
      <c r="D126" s="2" t="s">
        <v>14</v>
      </c>
      <c r="E126" s="2" t="s">
        <v>15</v>
      </c>
      <c r="F126" s="2" t="s">
        <v>20</v>
      </c>
      <c r="G126" s="2" t="n">
        <v>39</v>
      </c>
      <c r="H126" s="3" t="n">
        <v>12000</v>
      </c>
      <c r="I126" s="3" t="n">
        <f aca="false">G126*H126</f>
        <v>468000</v>
      </c>
      <c r="J126" s="3" t="n">
        <v>1734048</v>
      </c>
      <c r="K126" s="4" t="n">
        <f aca="false">IF(J126&gt;0,I126/J126,0)</f>
        <v>0.269888722803521</v>
      </c>
      <c r="L126" s="2" t="str">
        <f aca="false">IF(K126&gt;=1,"✅ Achieved","❌ Below Target")</f>
        <v>❌ Below Target</v>
      </c>
    </row>
    <row r="127" customFormat="false" ht="15" hidden="false" customHeight="false" outlineLevel="0" collapsed="false">
      <c r="A127" s="5" t="n">
        <v>126</v>
      </c>
      <c r="B127" s="5" t="s">
        <v>33</v>
      </c>
      <c r="C127" s="5" t="s">
        <v>34</v>
      </c>
      <c r="D127" s="5" t="s">
        <v>21</v>
      </c>
      <c r="E127" s="5" t="s">
        <v>22</v>
      </c>
      <c r="F127" s="5" t="s">
        <v>16</v>
      </c>
      <c r="G127" s="5" t="n">
        <v>38</v>
      </c>
      <c r="H127" s="6" t="n">
        <v>55000</v>
      </c>
      <c r="I127" s="6" t="n">
        <f aca="false">G127*H127</f>
        <v>2090000</v>
      </c>
      <c r="J127" s="6" t="n">
        <v>515080</v>
      </c>
      <c r="K127" s="7" t="n">
        <f aca="false">IF(J127&gt;0,I127/J127,0)</f>
        <v>4.05762211695271</v>
      </c>
      <c r="L127" s="5" t="str">
        <f aca="false">IF(K127&gt;=1,"✅ Achieved","❌ Below Target")</f>
        <v>✅ Achieved</v>
      </c>
    </row>
    <row r="128" customFormat="false" ht="15" hidden="false" customHeight="false" outlineLevel="0" collapsed="false">
      <c r="A128" s="2" t="n">
        <v>127</v>
      </c>
      <c r="B128" s="2" t="s">
        <v>33</v>
      </c>
      <c r="C128" s="2" t="s">
        <v>34</v>
      </c>
      <c r="D128" s="2" t="s">
        <v>21</v>
      </c>
      <c r="E128" s="2" t="s">
        <v>22</v>
      </c>
      <c r="F128" s="2" t="s">
        <v>17</v>
      </c>
      <c r="G128" s="2" t="n">
        <v>19</v>
      </c>
      <c r="H128" s="3" t="n">
        <v>18000</v>
      </c>
      <c r="I128" s="3" t="n">
        <f aca="false">G128*H128</f>
        <v>342000</v>
      </c>
      <c r="J128" s="3" t="n">
        <v>1984450</v>
      </c>
      <c r="K128" s="4" t="n">
        <f aca="false">IF(J128&gt;0,I128/J128,0)</f>
        <v>0.17233994305727</v>
      </c>
      <c r="L128" s="2" t="str">
        <f aca="false">IF(K128&gt;=1,"✅ Achieved","❌ Below Target")</f>
        <v>❌ Below Target</v>
      </c>
    </row>
    <row r="129" customFormat="false" ht="15" hidden="false" customHeight="false" outlineLevel="0" collapsed="false">
      <c r="A129" s="5" t="n">
        <v>128</v>
      </c>
      <c r="B129" s="5" t="s">
        <v>33</v>
      </c>
      <c r="C129" s="5" t="s">
        <v>34</v>
      </c>
      <c r="D129" s="5" t="s">
        <v>21</v>
      </c>
      <c r="E129" s="5" t="s">
        <v>22</v>
      </c>
      <c r="F129" s="5" t="s">
        <v>18</v>
      </c>
      <c r="G129" s="5" t="n">
        <v>90</v>
      </c>
      <c r="H129" s="6" t="n">
        <v>28000</v>
      </c>
      <c r="I129" s="6" t="n">
        <f aca="false">G129*H129</f>
        <v>2520000</v>
      </c>
      <c r="J129" s="6" t="n">
        <v>623467</v>
      </c>
      <c r="K129" s="7" t="n">
        <f aca="false">IF(J129&gt;0,I129/J129,0)</f>
        <v>4.04191400667557</v>
      </c>
      <c r="L129" s="5" t="str">
        <f aca="false">IF(K129&gt;=1,"✅ Achieved","❌ Below Target")</f>
        <v>✅ Achieved</v>
      </c>
    </row>
    <row r="130" customFormat="false" ht="15" hidden="false" customHeight="false" outlineLevel="0" collapsed="false">
      <c r="A130" s="2" t="n">
        <v>129</v>
      </c>
      <c r="B130" s="2" t="s">
        <v>33</v>
      </c>
      <c r="C130" s="2" t="s">
        <v>34</v>
      </c>
      <c r="D130" s="2" t="s">
        <v>21</v>
      </c>
      <c r="E130" s="2" t="s">
        <v>22</v>
      </c>
      <c r="F130" s="2" t="s">
        <v>19</v>
      </c>
      <c r="G130" s="2" t="n">
        <v>39</v>
      </c>
      <c r="H130" s="3" t="n">
        <v>3500</v>
      </c>
      <c r="I130" s="3" t="n">
        <f aca="false">G130*H130</f>
        <v>136500</v>
      </c>
      <c r="J130" s="3" t="n">
        <v>641348</v>
      </c>
      <c r="K130" s="4" t="n">
        <f aca="false">IF(J130&gt;0,I130/J130,0)</f>
        <v>0.212832970555767</v>
      </c>
      <c r="L130" s="2" t="str">
        <f aca="false">IF(K130&gt;=1,"✅ Achieved","❌ Below Target")</f>
        <v>❌ Below Target</v>
      </c>
    </row>
    <row r="131" customFormat="false" ht="15" hidden="false" customHeight="false" outlineLevel="0" collapsed="false">
      <c r="A131" s="5" t="n">
        <v>130</v>
      </c>
      <c r="B131" s="5" t="s">
        <v>33</v>
      </c>
      <c r="C131" s="5" t="s">
        <v>34</v>
      </c>
      <c r="D131" s="5" t="s">
        <v>21</v>
      </c>
      <c r="E131" s="5" t="s">
        <v>22</v>
      </c>
      <c r="F131" s="5" t="s">
        <v>20</v>
      </c>
      <c r="G131" s="5" t="n">
        <v>14</v>
      </c>
      <c r="H131" s="6" t="n">
        <v>12000</v>
      </c>
      <c r="I131" s="6" t="n">
        <f aca="false">G131*H131</f>
        <v>168000</v>
      </c>
      <c r="J131" s="6" t="n">
        <v>1192958</v>
      </c>
      <c r="K131" s="7" t="n">
        <f aca="false">IF(J131&gt;0,I131/J131,0)</f>
        <v>0.1408264163533</v>
      </c>
      <c r="L131" s="5" t="str">
        <f aca="false">IF(K131&gt;=1,"✅ Achieved","❌ Below Target")</f>
        <v>❌ Below Target</v>
      </c>
    </row>
    <row r="132" customFormat="false" ht="15" hidden="false" customHeight="false" outlineLevel="0" collapsed="false">
      <c r="A132" s="2" t="n">
        <v>131</v>
      </c>
      <c r="B132" s="2" t="s">
        <v>33</v>
      </c>
      <c r="C132" s="2" t="s">
        <v>34</v>
      </c>
      <c r="D132" s="2" t="s">
        <v>23</v>
      </c>
      <c r="E132" s="2" t="s">
        <v>24</v>
      </c>
      <c r="F132" s="2" t="s">
        <v>16</v>
      </c>
      <c r="G132" s="2" t="n">
        <v>19</v>
      </c>
      <c r="H132" s="3" t="n">
        <v>55000</v>
      </c>
      <c r="I132" s="3" t="n">
        <f aca="false">G132*H132</f>
        <v>1045000</v>
      </c>
      <c r="J132" s="3" t="n">
        <v>1578263</v>
      </c>
      <c r="K132" s="4" t="n">
        <f aca="false">IF(J132&gt;0,I132/J132,0)</f>
        <v>0.662120318349984</v>
      </c>
      <c r="L132" s="2" t="str">
        <f aca="false">IF(K132&gt;=1,"✅ Achieved","❌ Below Target")</f>
        <v>❌ Below Target</v>
      </c>
    </row>
    <row r="133" customFormat="false" ht="15" hidden="false" customHeight="false" outlineLevel="0" collapsed="false">
      <c r="A133" s="5" t="n">
        <v>132</v>
      </c>
      <c r="B133" s="5" t="s">
        <v>33</v>
      </c>
      <c r="C133" s="5" t="s">
        <v>34</v>
      </c>
      <c r="D133" s="5" t="s">
        <v>23</v>
      </c>
      <c r="E133" s="5" t="s">
        <v>24</v>
      </c>
      <c r="F133" s="5" t="s">
        <v>17</v>
      </c>
      <c r="G133" s="5" t="n">
        <v>40</v>
      </c>
      <c r="H133" s="6" t="n">
        <v>18000</v>
      </c>
      <c r="I133" s="6" t="n">
        <f aca="false">G133*H133</f>
        <v>720000</v>
      </c>
      <c r="J133" s="6" t="n">
        <v>1084009</v>
      </c>
      <c r="K133" s="7" t="n">
        <f aca="false">IF(J133&gt;0,I133/J133,0)</f>
        <v>0.664201127481414</v>
      </c>
      <c r="L133" s="5" t="str">
        <f aca="false">IF(K133&gt;=1,"✅ Achieved","❌ Below Target")</f>
        <v>❌ Below Target</v>
      </c>
    </row>
    <row r="134" customFormat="false" ht="15" hidden="false" customHeight="false" outlineLevel="0" collapsed="false">
      <c r="A134" s="2" t="n">
        <v>133</v>
      </c>
      <c r="B134" s="2" t="s">
        <v>33</v>
      </c>
      <c r="C134" s="2" t="s">
        <v>34</v>
      </c>
      <c r="D134" s="2" t="s">
        <v>23</v>
      </c>
      <c r="E134" s="2" t="s">
        <v>24</v>
      </c>
      <c r="F134" s="2" t="s">
        <v>18</v>
      </c>
      <c r="G134" s="2" t="n">
        <v>95</v>
      </c>
      <c r="H134" s="3" t="n">
        <v>28000</v>
      </c>
      <c r="I134" s="3" t="n">
        <f aca="false">G134*H134</f>
        <v>2660000</v>
      </c>
      <c r="J134" s="3" t="n">
        <v>1517987</v>
      </c>
      <c r="K134" s="4" t="n">
        <f aca="false">IF(J134&gt;0,I134/J134,0)</f>
        <v>1.75232067204792</v>
      </c>
      <c r="L134" s="2" t="str">
        <f aca="false">IF(K134&gt;=1,"✅ Achieved","❌ Below Target")</f>
        <v>✅ Achieved</v>
      </c>
    </row>
    <row r="135" customFormat="false" ht="15" hidden="false" customHeight="false" outlineLevel="0" collapsed="false">
      <c r="A135" s="5" t="n">
        <v>134</v>
      </c>
      <c r="B135" s="5" t="s">
        <v>33</v>
      </c>
      <c r="C135" s="5" t="s">
        <v>34</v>
      </c>
      <c r="D135" s="5" t="s">
        <v>23</v>
      </c>
      <c r="E135" s="5" t="s">
        <v>24</v>
      </c>
      <c r="F135" s="5" t="s">
        <v>19</v>
      </c>
      <c r="G135" s="5" t="n">
        <v>37</v>
      </c>
      <c r="H135" s="6" t="n">
        <v>3500</v>
      </c>
      <c r="I135" s="6" t="n">
        <f aca="false">G135*H135</f>
        <v>129500</v>
      </c>
      <c r="J135" s="6" t="n">
        <v>1630855</v>
      </c>
      <c r="K135" s="7" t="n">
        <f aca="false">IF(J135&gt;0,I135/J135,0)</f>
        <v>0.0794062010417848</v>
      </c>
      <c r="L135" s="5" t="str">
        <f aca="false">IF(K135&gt;=1,"✅ Achieved","❌ Below Target")</f>
        <v>❌ Below Target</v>
      </c>
    </row>
    <row r="136" customFormat="false" ht="15" hidden="false" customHeight="false" outlineLevel="0" collapsed="false">
      <c r="A136" s="2" t="n">
        <v>135</v>
      </c>
      <c r="B136" s="2" t="s">
        <v>33</v>
      </c>
      <c r="C136" s="2" t="s">
        <v>34</v>
      </c>
      <c r="D136" s="2" t="s">
        <v>23</v>
      </c>
      <c r="E136" s="2" t="s">
        <v>24</v>
      </c>
      <c r="F136" s="2" t="s">
        <v>20</v>
      </c>
      <c r="G136" s="2" t="n">
        <v>26</v>
      </c>
      <c r="H136" s="3" t="n">
        <v>12000</v>
      </c>
      <c r="I136" s="3" t="n">
        <f aca="false">G136*H136</f>
        <v>312000</v>
      </c>
      <c r="J136" s="3" t="n">
        <v>1697564</v>
      </c>
      <c r="K136" s="4" t="n">
        <f aca="false">IF(J136&gt;0,I136/J136,0)</f>
        <v>0.183792776001376</v>
      </c>
      <c r="L136" s="2" t="str">
        <f aca="false">IF(K136&gt;=1,"✅ Achieved","❌ Below Target")</f>
        <v>❌ Below Target</v>
      </c>
    </row>
    <row r="137" customFormat="false" ht="15" hidden="false" customHeight="false" outlineLevel="0" collapsed="false">
      <c r="A137" s="5" t="n">
        <v>136</v>
      </c>
      <c r="B137" s="5" t="s">
        <v>33</v>
      </c>
      <c r="C137" s="5" t="s">
        <v>34</v>
      </c>
      <c r="D137" s="5" t="s">
        <v>25</v>
      </c>
      <c r="E137" s="5" t="s">
        <v>26</v>
      </c>
      <c r="F137" s="5" t="s">
        <v>16</v>
      </c>
      <c r="G137" s="5" t="n">
        <v>83</v>
      </c>
      <c r="H137" s="6" t="n">
        <v>55000</v>
      </c>
      <c r="I137" s="6" t="n">
        <f aca="false">G137*H137</f>
        <v>4565000</v>
      </c>
      <c r="J137" s="6" t="n">
        <v>1491262</v>
      </c>
      <c r="K137" s="7" t="n">
        <f aca="false">IF(J137&gt;0,I137/J137,0)</f>
        <v>3.06116564359583</v>
      </c>
      <c r="L137" s="5" t="str">
        <f aca="false">IF(K137&gt;=1,"✅ Achieved","❌ Below Target")</f>
        <v>✅ Achieved</v>
      </c>
    </row>
    <row r="138" customFormat="false" ht="15" hidden="false" customHeight="false" outlineLevel="0" collapsed="false">
      <c r="A138" s="2" t="n">
        <v>137</v>
      </c>
      <c r="B138" s="2" t="s">
        <v>33</v>
      </c>
      <c r="C138" s="2" t="s">
        <v>34</v>
      </c>
      <c r="D138" s="2" t="s">
        <v>25</v>
      </c>
      <c r="E138" s="2" t="s">
        <v>26</v>
      </c>
      <c r="F138" s="2" t="s">
        <v>17</v>
      </c>
      <c r="G138" s="2" t="n">
        <v>41</v>
      </c>
      <c r="H138" s="3" t="n">
        <v>18000</v>
      </c>
      <c r="I138" s="3" t="n">
        <f aca="false">G138*H138</f>
        <v>738000</v>
      </c>
      <c r="J138" s="3" t="n">
        <v>1491896</v>
      </c>
      <c r="K138" s="4" t="n">
        <f aca="false">IF(J138&gt;0,I138/J138,0)</f>
        <v>0.494672550901671</v>
      </c>
      <c r="L138" s="2" t="str">
        <f aca="false">IF(K138&gt;=1,"✅ Achieved","❌ Below Target")</f>
        <v>❌ Below Target</v>
      </c>
    </row>
    <row r="139" customFormat="false" ht="15" hidden="false" customHeight="false" outlineLevel="0" collapsed="false">
      <c r="A139" s="5" t="n">
        <v>138</v>
      </c>
      <c r="B139" s="5" t="s">
        <v>33</v>
      </c>
      <c r="C139" s="5" t="s">
        <v>34</v>
      </c>
      <c r="D139" s="5" t="s">
        <v>25</v>
      </c>
      <c r="E139" s="5" t="s">
        <v>26</v>
      </c>
      <c r="F139" s="5" t="s">
        <v>18</v>
      </c>
      <c r="G139" s="5" t="n">
        <v>113</v>
      </c>
      <c r="H139" s="6" t="n">
        <v>28000</v>
      </c>
      <c r="I139" s="6" t="n">
        <f aca="false">G139*H139</f>
        <v>3164000</v>
      </c>
      <c r="J139" s="6" t="n">
        <v>1353666</v>
      </c>
      <c r="K139" s="7" t="n">
        <f aca="false">IF(J139&gt;0,I139/J139,0)</f>
        <v>2.33735648232282</v>
      </c>
      <c r="L139" s="5" t="str">
        <f aca="false">IF(K139&gt;=1,"✅ Achieved","❌ Below Target")</f>
        <v>✅ Achieved</v>
      </c>
    </row>
    <row r="140" customFormat="false" ht="15" hidden="false" customHeight="false" outlineLevel="0" collapsed="false">
      <c r="A140" s="2" t="n">
        <v>139</v>
      </c>
      <c r="B140" s="2" t="s">
        <v>33</v>
      </c>
      <c r="C140" s="2" t="s">
        <v>34</v>
      </c>
      <c r="D140" s="2" t="s">
        <v>25</v>
      </c>
      <c r="E140" s="2" t="s">
        <v>26</v>
      </c>
      <c r="F140" s="2" t="s">
        <v>19</v>
      </c>
      <c r="G140" s="2" t="n">
        <v>34</v>
      </c>
      <c r="H140" s="3" t="n">
        <v>3500</v>
      </c>
      <c r="I140" s="3" t="n">
        <f aca="false">G140*H140</f>
        <v>119000</v>
      </c>
      <c r="J140" s="3" t="n">
        <v>697815</v>
      </c>
      <c r="K140" s="4" t="n">
        <f aca="false">IF(J140&gt;0,I140/J140,0)</f>
        <v>0.170532304407329</v>
      </c>
      <c r="L140" s="2" t="str">
        <f aca="false">IF(K140&gt;=1,"✅ Achieved","❌ Below Target")</f>
        <v>❌ Below Target</v>
      </c>
    </row>
    <row r="141" customFormat="false" ht="15" hidden="false" customHeight="false" outlineLevel="0" collapsed="false">
      <c r="A141" s="5" t="n">
        <v>140</v>
      </c>
      <c r="B141" s="5" t="s">
        <v>33</v>
      </c>
      <c r="C141" s="5" t="s">
        <v>34</v>
      </c>
      <c r="D141" s="5" t="s">
        <v>25</v>
      </c>
      <c r="E141" s="5" t="s">
        <v>26</v>
      </c>
      <c r="F141" s="5" t="s">
        <v>20</v>
      </c>
      <c r="G141" s="5" t="n">
        <v>22</v>
      </c>
      <c r="H141" s="6" t="n">
        <v>12000</v>
      </c>
      <c r="I141" s="6" t="n">
        <f aca="false">G141*H141</f>
        <v>264000</v>
      </c>
      <c r="J141" s="6" t="n">
        <v>1881986</v>
      </c>
      <c r="K141" s="7" t="n">
        <f aca="false">IF(J141&gt;0,I141/J141,0)</f>
        <v>0.140277345315002</v>
      </c>
      <c r="L141" s="5" t="str">
        <f aca="false">IF(K141&gt;=1,"✅ Achieved","❌ Below Target")</f>
        <v>❌ Below Target</v>
      </c>
    </row>
    <row r="142" customFormat="false" ht="15" hidden="false" customHeight="false" outlineLevel="0" collapsed="false">
      <c r="A142" s="2" t="n">
        <v>141</v>
      </c>
      <c r="B142" s="2" t="s">
        <v>35</v>
      </c>
      <c r="C142" s="2" t="s">
        <v>34</v>
      </c>
      <c r="D142" s="2" t="s">
        <v>14</v>
      </c>
      <c r="E142" s="2" t="s">
        <v>15</v>
      </c>
      <c r="F142" s="2" t="s">
        <v>16</v>
      </c>
      <c r="G142" s="2" t="n">
        <v>65</v>
      </c>
      <c r="H142" s="3" t="n">
        <v>55000</v>
      </c>
      <c r="I142" s="3" t="n">
        <f aca="false">G142*H142</f>
        <v>3575000</v>
      </c>
      <c r="J142" s="3" t="n">
        <v>1243015</v>
      </c>
      <c r="K142" s="4" t="n">
        <f aca="false">IF(J142&gt;0,I142/J142,0)</f>
        <v>2.87607148747199</v>
      </c>
      <c r="L142" s="2" t="str">
        <f aca="false">IF(K142&gt;=1,"✅ Achieved","❌ Below Target")</f>
        <v>✅ Achieved</v>
      </c>
    </row>
    <row r="143" customFormat="false" ht="15" hidden="false" customHeight="false" outlineLevel="0" collapsed="false">
      <c r="A143" s="5" t="n">
        <v>142</v>
      </c>
      <c r="B143" s="5" t="s">
        <v>35</v>
      </c>
      <c r="C143" s="5" t="s">
        <v>34</v>
      </c>
      <c r="D143" s="5" t="s">
        <v>14</v>
      </c>
      <c r="E143" s="5" t="s">
        <v>15</v>
      </c>
      <c r="F143" s="5" t="s">
        <v>17</v>
      </c>
      <c r="G143" s="5" t="n">
        <v>64</v>
      </c>
      <c r="H143" s="6" t="n">
        <v>18000</v>
      </c>
      <c r="I143" s="6" t="n">
        <f aca="false">G143*H143</f>
        <v>1152000</v>
      </c>
      <c r="J143" s="6" t="n">
        <v>1362143</v>
      </c>
      <c r="K143" s="7" t="n">
        <f aca="false">IF(J143&gt;0,I143/J143,0)</f>
        <v>0.845726182933804</v>
      </c>
      <c r="L143" s="5" t="str">
        <f aca="false">IF(K143&gt;=1,"✅ Achieved","❌ Below Target")</f>
        <v>❌ Below Target</v>
      </c>
    </row>
    <row r="144" customFormat="false" ht="15" hidden="false" customHeight="false" outlineLevel="0" collapsed="false">
      <c r="A144" s="2" t="n">
        <v>143</v>
      </c>
      <c r="B144" s="2" t="s">
        <v>35</v>
      </c>
      <c r="C144" s="2" t="s">
        <v>34</v>
      </c>
      <c r="D144" s="2" t="s">
        <v>14</v>
      </c>
      <c r="E144" s="2" t="s">
        <v>15</v>
      </c>
      <c r="F144" s="2" t="s">
        <v>18</v>
      </c>
      <c r="G144" s="2" t="n">
        <v>69</v>
      </c>
      <c r="H144" s="3" t="n">
        <v>28000</v>
      </c>
      <c r="I144" s="3" t="n">
        <f aca="false">G144*H144</f>
        <v>1932000</v>
      </c>
      <c r="J144" s="3" t="n">
        <v>613605</v>
      </c>
      <c r="K144" s="4" t="n">
        <f aca="false">IF(J144&gt;0,I144/J144,0)</f>
        <v>3.14860537316352</v>
      </c>
      <c r="L144" s="2" t="str">
        <f aca="false">IF(K144&gt;=1,"✅ Achieved","❌ Below Target")</f>
        <v>✅ Achieved</v>
      </c>
    </row>
    <row r="145" customFormat="false" ht="15" hidden="false" customHeight="false" outlineLevel="0" collapsed="false">
      <c r="A145" s="5" t="n">
        <v>144</v>
      </c>
      <c r="B145" s="5" t="s">
        <v>35</v>
      </c>
      <c r="C145" s="5" t="s">
        <v>34</v>
      </c>
      <c r="D145" s="5" t="s">
        <v>14</v>
      </c>
      <c r="E145" s="5" t="s">
        <v>15</v>
      </c>
      <c r="F145" s="5" t="s">
        <v>19</v>
      </c>
      <c r="G145" s="5" t="n">
        <v>96</v>
      </c>
      <c r="H145" s="6" t="n">
        <v>3500</v>
      </c>
      <c r="I145" s="6" t="n">
        <f aca="false">G145*H145</f>
        <v>336000</v>
      </c>
      <c r="J145" s="6" t="n">
        <v>1870395</v>
      </c>
      <c r="K145" s="7" t="n">
        <f aca="false">IF(J145&gt;0,I145/J145,0)</f>
        <v>0.179641198784214</v>
      </c>
      <c r="L145" s="5" t="str">
        <f aca="false">IF(K145&gt;=1,"✅ Achieved","❌ Below Target")</f>
        <v>❌ Below Target</v>
      </c>
    </row>
    <row r="146" customFormat="false" ht="15" hidden="false" customHeight="false" outlineLevel="0" collapsed="false">
      <c r="A146" s="2" t="n">
        <v>145</v>
      </c>
      <c r="B146" s="2" t="s">
        <v>35</v>
      </c>
      <c r="C146" s="2" t="s">
        <v>34</v>
      </c>
      <c r="D146" s="2" t="s">
        <v>14</v>
      </c>
      <c r="E146" s="2" t="s">
        <v>15</v>
      </c>
      <c r="F146" s="2" t="s">
        <v>20</v>
      </c>
      <c r="G146" s="2" t="n">
        <v>92</v>
      </c>
      <c r="H146" s="3" t="n">
        <v>12000</v>
      </c>
      <c r="I146" s="3" t="n">
        <f aca="false">G146*H146</f>
        <v>1104000</v>
      </c>
      <c r="J146" s="3" t="n">
        <v>706397</v>
      </c>
      <c r="K146" s="4" t="n">
        <f aca="false">IF(J146&gt;0,I146/J146,0)</f>
        <v>1.56286054442474</v>
      </c>
      <c r="L146" s="2" t="str">
        <f aca="false">IF(K146&gt;=1,"✅ Achieved","❌ Below Target")</f>
        <v>✅ Achieved</v>
      </c>
    </row>
    <row r="147" customFormat="false" ht="15" hidden="false" customHeight="false" outlineLevel="0" collapsed="false">
      <c r="A147" s="5" t="n">
        <v>146</v>
      </c>
      <c r="B147" s="5" t="s">
        <v>35</v>
      </c>
      <c r="C147" s="5" t="s">
        <v>34</v>
      </c>
      <c r="D147" s="5" t="s">
        <v>21</v>
      </c>
      <c r="E147" s="5" t="s">
        <v>22</v>
      </c>
      <c r="F147" s="5" t="s">
        <v>16</v>
      </c>
      <c r="G147" s="5" t="n">
        <v>17</v>
      </c>
      <c r="H147" s="6" t="n">
        <v>55000</v>
      </c>
      <c r="I147" s="6" t="n">
        <f aca="false">G147*H147</f>
        <v>935000</v>
      </c>
      <c r="J147" s="6" t="n">
        <v>1344358</v>
      </c>
      <c r="K147" s="7" t="n">
        <f aca="false">IF(J147&gt;0,I147/J147,0)</f>
        <v>0.695499264332864</v>
      </c>
      <c r="L147" s="5" t="str">
        <f aca="false">IF(K147&gt;=1,"✅ Achieved","❌ Below Target")</f>
        <v>❌ Below Target</v>
      </c>
    </row>
    <row r="148" customFormat="false" ht="15" hidden="false" customHeight="false" outlineLevel="0" collapsed="false">
      <c r="A148" s="2" t="n">
        <v>147</v>
      </c>
      <c r="B148" s="2" t="s">
        <v>35</v>
      </c>
      <c r="C148" s="2" t="s">
        <v>34</v>
      </c>
      <c r="D148" s="2" t="s">
        <v>21</v>
      </c>
      <c r="E148" s="2" t="s">
        <v>22</v>
      </c>
      <c r="F148" s="2" t="s">
        <v>17</v>
      </c>
      <c r="G148" s="2" t="n">
        <v>103</v>
      </c>
      <c r="H148" s="3" t="n">
        <v>18000</v>
      </c>
      <c r="I148" s="3" t="n">
        <f aca="false">G148*H148</f>
        <v>1854000</v>
      </c>
      <c r="J148" s="3" t="n">
        <v>1211569</v>
      </c>
      <c r="K148" s="4" t="n">
        <f aca="false">IF(J148&gt;0,I148/J148,0)</f>
        <v>1.53024714234187</v>
      </c>
      <c r="L148" s="2" t="str">
        <f aca="false">IF(K148&gt;=1,"✅ Achieved","❌ Below Target")</f>
        <v>✅ Achieved</v>
      </c>
    </row>
    <row r="149" customFormat="false" ht="15" hidden="false" customHeight="false" outlineLevel="0" collapsed="false">
      <c r="A149" s="5" t="n">
        <v>148</v>
      </c>
      <c r="B149" s="5" t="s">
        <v>35</v>
      </c>
      <c r="C149" s="5" t="s">
        <v>34</v>
      </c>
      <c r="D149" s="5" t="s">
        <v>21</v>
      </c>
      <c r="E149" s="5" t="s">
        <v>22</v>
      </c>
      <c r="F149" s="5" t="s">
        <v>18</v>
      </c>
      <c r="G149" s="5" t="n">
        <v>112</v>
      </c>
      <c r="H149" s="6" t="n">
        <v>28000</v>
      </c>
      <c r="I149" s="6" t="n">
        <f aca="false">G149*H149</f>
        <v>3136000</v>
      </c>
      <c r="J149" s="6" t="n">
        <v>729153</v>
      </c>
      <c r="K149" s="7" t="n">
        <f aca="false">IF(J149&gt;0,I149/J149,0)</f>
        <v>4.30088061079088</v>
      </c>
      <c r="L149" s="5" t="str">
        <f aca="false">IF(K149&gt;=1,"✅ Achieved","❌ Below Target")</f>
        <v>✅ Achieved</v>
      </c>
    </row>
    <row r="150" customFormat="false" ht="15" hidden="false" customHeight="false" outlineLevel="0" collapsed="false">
      <c r="A150" s="2" t="n">
        <v>149</v>
      </c>
      <c r="B150" s="2" t="s">
        <v>35</v>
      </c>
      <c r="C150" s="2" t="s">
        <v>34</v>
      </c>
      <c r="D150" s="2" t="s">
        <v>21</v>
      </c>
      <c r="E150" s="2" t="s">
        <v>22</v>
      </c>
      <c r="F150" s="2" t="s">
        <v>19</v>
      </c>
      <c r="G150" s="2" t="n">
        <v>41</v>
      </c>
      <c r="H150" s="3" t="n">
        <v>3500</v>
      </c>
      <c r="I150" s="3" t="n">
        <f aca="false">G150*H150</f>
        <v>143500</v>
      </c>
      <c r="J150" s="3" t="n">
        <v>901793</v>
      </c>
      <c r="K150" s="4" t="n">
        <f aca="false">IF(J150&gt;0,I150/J150,0)</f>
        <v>0.159127427247717</v>
      </c>
      <c r="L150" s="2" t="str">
        <f aca="false">IF(K150&gt;=1,"✅ Achieved","❌ Below Target")</f>
        <v>❌ Below Target</v>
      </c>
    </row>
    <row r="151" customFormat="false" ht="15" hidden="false" customHeight="false" outlineLevel="0" collapsed="false">
      <c r="A151" s="5" t="n">
        <v>150</v>
      </c>
      <c r="B151" s="5" t="s">
        <v>35</v>
      </c>
      <c r="C151" s="5" t="s">
        <v>34</v>
      </c>
      <c r="D151" s="5" t="s">
        <v>21</v>
      </c>
      <c r="E151" s="5" t="s">
        <v>22</v>
      </c>
      <c r="F151" s="5" t="s">
        <v>20</v>
      </c>
      <c r="G151" s="5" t="n">
        <v>34</v>
      </c>
      <c r="H151" s="6" t="n">
        <v>12000</v>
      </c>
      <c r="I151" s="6" t="n">
        <f aca="false">G151*H151</f>
        <v>408000</v>
      </c>
      <c r="J151" s="6" t="n">
        <v>1624672</v>
      </c>
      <c r="K151" s="7" t="n">
        <f aca="false">IF(J151&gt;0,I151/J151,0)</f>
        <v>0.251127612219574</v>
      </c>
      <c r="L151" s="5" t="str">
        <f aca="false">IF(K151&gt;=1,"✅ Achieved","❌ Below Target")</f>
        <v>❌ Below Target</v>
      </c>
    </row>
    <row r="152" customFormat="false" ht="15" hidden="false" customHeight="false" outlineLevel="0" collapsed="false">
      <c r="A152" s="2" t="n">
        <v>151</v>
      </c>
      <c r="B152" s="2" t="s">
        <v>35</v>
      </c>
      <c r="C152" s="2" t="s">
        <v>34</v>
      </c>
      <c r="D152" s="2" t="s">
        <v>23</v>
      </c>
      <c r="E152" s="2" t="s">
        <v>24</v>
      </c>
      <c r="F152" s="2" t="s">
        <v>16</v>
      </c>
      <c r="G152" s="2" t="n">
        <v>67</v>
      </c>
      <c r="H152" s="3" t="n">
        <v>55000</v>
      </c>
      <c r="I152" s="3" t="n">
        <f aca="false">G152*H152</f>
        <v>3685000</v>
      </c>
      <c r="J152" s="3" t="n">
        <v>793983</v>
      </c>
      <c r="K152" s="4" t="n">
        <f aca="false">IF(J152&gt;0,I152/J152,0)</f>
        <v>4.64115730437553</v>
      </c>
      <c r="L152" s="2" t="str">
        <f aca="false">IF(K152&gt;=1,"✅ Achieved","❌ Below Target")</f>
        <v>✅ Achieved</v>
      </c>
    </row>
    <row r="153" customFormat="false" ht="15" hidden="false" customHeight="false" outlineLevel="0" collapsed="false">
      <c r="A153" s="5" t="n">
        <v>152</v>
      </c>
      <c r="B153" s="5" t="s">
        <v>35</v>
      </c>
      <c r="C153" s="5" t="s">
        <v>34</v>
      </c>
      <c r="D153" s="5" t="s">
        <v>23</v>
      </c>
      <c r="E153" s="5" t="s">
        <v>24</v>
      </c>
      <c r="F153" s="5" t="s">
        <v>17</v>
      </c>
      <c r="G153" s="5" t="n">
        <v>64</v>
      </c>
      <c r="H153" s="6" t="n">
        <v>18000</v>
      </c>
      <c r="I153" s="6" t="n">
        <f aca="false">G153*H153</f>
        <v>1152000</v>
      </c>
      <c r="J153" s="6" t="n">
        <v>884802</v>
      </c>
      <c r="K153" s="7" t="n">
        <f aca="false">IF(J153&gt;0,I153/J153,0)</f>
        <v>1.30198620708362</v>
      </c>
      <c r="L153" s="5" t="str">
        <f aca="false">IF(K153&gt;=1,"✅ Achieved","❌ Below Target")</f>
        <v>✅ Achieved</v>
      </c>
    </row>
    <row r="154" customFormat="false" ht="15" hidden="false" customHeight="false" outlineLevel="0" collapsed="false">
      <c r="A154" s="2" t="n">
        <v>153</v>
      </c>
      <c r="B154" s="2" t="s">
        <v>35</v>
      </c>
      <c r="C154" s="2" t="s">
        <v>34</v>
      </c>
      <c r="D154" s="2" t="s">
        <v>23</v>
      </c>
      <c r="E154" s="2" t="s">
        <v>24</v>
      </c>
      <c r="F154" s="2" t="s">
        <v>18</v>
      </c>
      <c r="G154" s="2" t="n">
        <v>45</v>
      </c>
      <c r="H154" s="3" t="n">
        <v>28000</v>
      </c>
      <c r="I154" s="3" t="n">
        <f aca="false">G154*H154</f>
        <v>1260000</v>
      </c>
      <c r="J154" s="3" t="n">
        <v>1470201</v>
      </c>
      <c r="K154" s="4" t="n">
        <f aca="false">IF(J154&gt;0,I154/J154,0)</f>
        <v>0.857025671999951</v>
      </c>
      <c r="L154" s="2" t="str">
        <f aca="false">IF(K154&gt;=1,"✅ Achieved","❌ Below Target")</f>
        <v>❌ Below Target</v>
      </c>
    </row>
    <row r="155" customFormat="false" ht="15" hidden="false" customHeight="false" outlineLevel="0" collapsed="false">
      <c r="A155" s="5" t="n">
        <v>154</v>
      </c>
      <c r="B155" s="5" t="s">
        <v>35</v>
      </c>
      <c r="C155" s="5" t="s">
        <v>34</v>
      </c>
      <c r="D155" s="5" t="s">
        <v>23</v>
      </c>
      <c r="E155" s="5" t="s">
        <v>24</v>
      </c>
      <c r="F155" s="5" t="s">
        <v>19</v>
      </c>
      <c r="G155" s="5" t="n">
        <v>41</v>
      </c>
      <c r="H155" s="6" t="n">
        <v>3500</v>
      </c>
      <c r="I155" s="6" t="n">
        <f aca="false">G155*H155</f>
        <v>143500</v>
      </c>
      <c r="J155" s="6" t="n">
        <v>658093</v>
      </c>
      <c r="K155" s="7" t="n">
        <f aca="false">IF(J155&gt;0,I155/J155,0)</f>
        <v>0.218054287160021</v>
      </c>
      <c r="L155" s="5" t="str">
        <f aca="false">IF(K155&gt;=1,"✅ Achieved","❌ Below Target")</f>
        <v>❌ Below Target</v>
      </c>
    </row>
    <row r="156" customFormat="false" ht="15" hidden="false" customHeight="false" outlineLevel="0" collapsed="false">
      <c r="A156" s="2" t="n">
        <v>155</v>
      </c>
      <c r="B156" s="2" t="s">
        <v>35</v>
      </c>
      <c r="C156" s="2" t="s">
        <v>34</v>
      </c>
      <c r="D156" s="2" t="s">
        <v>23</v>
      </c>
      <c r="E156" s="2" t="s">
        <v>24</v>
      </c>
      <c r="F156" s="2" t="s">
        <v>20</v>
      </c>
      <c r="G156" s="2" t="n">
        <v>66</v>
      </c>
      <c r="H156" s="3" t="n">
        <v>12000</v>
      </c>
      <c r="I156" s="3" t="n">
        <f aca="false">G156*H156</f>
        <v>792000</v>
      </c>
      <c r="J156" s="3" t="n">
        <v>1654115</v>
      </c>
      <c r="K156" s="4" t="n">
        <f aca="false">IF(J156&gt;0,I156/J156,0)</f>
        <v>0.478805887136021</v>
      </c>
      <c r="L156" s="2" t="str">
        <f aca="false">IF(K156&gt;=1,"✅ Achieved","❌ Below Target")</f>
        <v>❌ Below Target</v>
      </c>
    </row>
    <row r="157" customFormat="false" ht="15" hidden="false" customHeight="false" outlineLevel="0" collapsed="false">
      <c r="A157" s="5" t="n">
        <v>156</v>
      </c>
      <c r="B157" s="5" t="s">
        <v>35</v>
      </c>
      <c r="C157" s="5" t="s">
        <v>34</v>
      </c>
      <c r="D157" s="5" t="s">
        <v>25</v>
      </c>
      <c r="E157" s="5" t="s">
        <v>26</v>
      </c>
      <c r="F157" s="5" t="s">
        <v>16</v>
      </c>
      <c r="G157" s="5" t="n">
        <v>22</v>
      </c>
      <c r="H157" s="6" t="n">
        <v>55000</v>
      </c>
      <c r="I157" s="6" t="n">
        <f aca="false">G157*H157</f>
        <v>1210000</v>
      </c>
      <c r="J157" s="6" t="n">
        <v>606091</v>
      </c>
      <c r="K157" s="7" t="n">
        <f aca="false">IF(J157&gt;0,I157/J157,0)</f>
        <v>1.99639988054599</v>
      </c>
      <c r="L157" s="5" t="str">
        <f aca="false">IF(K157&gt;=1,"✅ Achieved","❌ Below Target")</f>
        <v>✅ Achieved</v>
      </c>
    </row>
    <row r="158" customFormat="false" ht="15" hidden="false" customHeight="false" outlineLevel="0" collapsed="false">
      <c r="A158" s="2" t="n">
        <v>157</v>
      </c>
      <c r="B158" s="2" t="s">
        <v>35</v>
      </c>
      <c r="C158" s="2" t="s">
        <v>34</v>
      </c>
      <c r="D158" s="2" t="s">
        <v>25</v>
      </c>
      <c r="E158" s="2" t="s">
        <v>26</v>
      </c>
      <c r="F158" s="2" t="s">
        <v>17</v>
      </c>
      <c r="G158" s="2" t="n">
        <v>93</v>
      </c>
      <c r="H158" s="3" t="n">
        <v>18000</v>
      </c>
      <c r="I158" s="3" t="n">
        <f aca="false">G158*H158</f>
        <v>1674000</v>
      </c>
      <c r="J158" s="3" t="n">
        <v>1633695</v>
      </c>
      <c r="K158" s="4" t="n">
        <f aca="false">IF(J158&gt;0,I158/J158,0)</f>
        <v>1.02467106773296</v>
      </c>
      <c r="L158" s="2" t="str">
        <f aca="false">IF(K158&gt;=1,"✅ Achieved","❌ Below Target")</f>
        <v>✅ Achieved</v>
      </c>
    </row>
    <row r="159" customFormat="false" ht="15" hidden="false" customHeight="false" outlineLevel="0" collapsed="false">
      <c r="A159" s="5" t="n">
        <v>158</v>
      </c>
      <c r="B159" s="5" t="s">
        <v>35</v>
      </c>
      <c r="C159" s="5" t="s">
        <v>34</v>
      </c>
      <c r="D159" s="5" t="s">
        <v>25</v>
      </c>
      <c r="E159" s="5" t="s">
        <v>26</v>
      </c>
      <c r="F159" s="5" t="s">
        <v>18</v>
      </c>
      <c r="G159" s="5" t="n">
        <v>117</v>
      </c>
      <c r="H159" s="6" t="n">
        <v>28000</v>
      </c>
      <c r="I159" s="6" t="n">
        <f aca="false">G159*H159</f>
        <v>3276000</v>
      </c>
      <c r="J159" s="6" t="n">
        <v>530949</v>
      </c>
      <c r="K159" s="7" t="n">
        <f aca="false">IF(J159&gt;0,I159/J159,0)</f>
        <v>6.1700841323743</v>
      </c>
      <c r="L159" s="5" t="str">
        <f aca="false">IF(K159&gt;=1,"✅ Achieved","❌ Below Target")</f>
        <v>✅ Achieved</v>
      </c>
    </row>
    <row r="160" customFormat="false" ht="15" hidden="false" customHeight="false" outlineLevel="0" collapsed="false">
      <c r="A160" s="2" t="n">
        <v>159</v>
      </c>
      <c r="B160" s="2" t="s">
        <v>35</v>
      </c>
      <c r="C160" s="2" t="s">
        <v>34</v>
      </c>
      <c r="D160" s="2" t="s">
        <v>25</v>
      </c>
      <c r="E160" s="2" t="s">
        <v>26</v>
      </c>
      <c r="F160" s="2" t="s">
        <v>19</v>
      </c>
      <c r="G160" s="2" t="n">
        <v>21</v>
      </c>
      <c r="H160" s="3" t="n">
        <v>3500</v>
      </c>
      <c r="I160" s="3" t="n">
        <f aca="false">G160*H160</f>
        <v>73500</v>
      </c>
      <c r="J160" s="3" t="n">
        <v>995723</v>
      </c>
      <c r="K160" s="4" t="n">
        <f aca="false">IF(J160&gt;0,I160/J160,0)</f>
        <v>0.0738157097907752</v>
      </c>
      <c r="L160" s="2" t="str">
        <f aca="false">IF(K160&gt;=1,"✅ Achieved","❌ Below Target")</f>
        <v>❌ Below Target</v>
      </c>
    </row>
    <row r="161" customFormat="false" ht="15" hidden="false" customHeight="false" outlineLevel="0" collapsed="false">
      <c r="A161" s="5" t="n">
        <v>160</v>
      </c>
      <c r="B161" s="5" t="s">
        <v>35</v>
      </c>
      <c r="C161" s="5" t="s">
        <v>34</v>
      </c>
      <c r="D161" s="5" t="s">
        <v>25</v>
      </c>
      <c r="E161" s="5" t="s">
        <v>26</v>
      </c>
      <c r="F161" s="5" t="s">
        <v>20</v>
      </c>
      <c r="G161" s="5" t="n">
        <v>31</v>
      </c>
      <c r="H161" s="6" t="n">
        <v>12000</v>
      </c>
      <c r="I161" s="6" t="n">
        <f aca="false">G161*H161</f>
        <v>372000</v>
      </c>
      <c r="J161" s="6" t="n">
        <v>1352312</v>
      </c>
      <c r="K161" s="7" t="n">
        <f aca="false">IF(J161&gt;0,I161/J161,0)</f>
        <v>0.275084447967629</v>
      </c>
      <c r="L161" s="5" t="str">
        <f aca="false">IF(K161&gt;=1,"✅ Achieved","❌ Below Target")</f>
        <v>❌ Below Target</v>
      </c>
    </row>
    <row r="162" customFormat="false" ht="15" hidden="false" customHeight="false" outlineLevel="0" collapsed="false">
      <c r="A162" s="2" t="n">
        <v>161</v>
      </c>
      <c r="B162" s="2" t="s">
        <v>36</v>
      </c>
      <c r="C162" s="2" t="s">
        <v>34</v>
      </c>
      <c r="D162" s="2" t="s">
        <v>14</v>
      </c>
      <c r="E162" s="2" t="s">
        <v>15</v>
      </c>
      <c r="F162" s="2" t="s">
        <v>16</v>
      </c>
      <c r="G162" s="2" t="n">
        <v>72</v>
      </c>
      <c r="H162" s="3" t="n">
        <v>55000</v>
      </c>
      <c r="I162" s="3" t="n">
        <f aca="false">G162*H162</f>
        <v>3960000</v>
      </c>
      <c r="J162" s="3" t="n">
        <v>1509481</v>
      </c>
      <c r="K162" s="4" t="n">
        <f aca="false">IF(J162&gt;0,I162/J162,0)</f>
        <v>2.62341824772886</v>
      </c>
      <c r="L162" s="2" t="str">
        <f aca="false">IF(K162&gt;=1,"✅ Achieved","❌ Below Target")</f>
        <v>✅ Achieved</v>
      </c>
    </row>
    <row r="163" customFormat="false" ht="15" hidden="false" customHeight="false" outlineLevel="0" collapsed="false">
      <c r="A163" s="5" t="n">
        <v>162</v>
      </c>
      <c r="B163" s="5" t="s">
        <v>36</v>
      </c>
      <c r="C163" s="5" t="s">
        <v>34</v>
      </c>
      <c r="D163" s="5" t="s">
        <v>14</v>
      </c>
      <c r="E163" s="5" t="s">
        <v>15</v>
      </c>
      <c r="F163" s="5" t="s">
        <v>17</v>
      </c>
      <c r="G163" s="5" t="n">
        <v>37</v>
      </c>
      <c r="H163" s="6" t="n">
        <v>18000</v>
      </c>
      <c r="I163" s="6" t="n">
        <f aca="false">G163*H163</f>
        <v>666000</v>
      </c>
      <c r="J163" s="6" t="n">
        <v>1341042</v>
      </c>
      <c r="K163" s="7" t="n">
        <f aca="false">IF(J163&gt;0,I163/J163,0)</f>
        <v>0.496628740934288</v>
      </c>
      <c r="L163" s="5" t="str">
        <f aca="false">IF(K163&gt;=1,"✅ Achieved","❌ Below Target")</f>
        <v>❌ Below Target</v>
      </c>
    </row>
    <row r="164" customFormat="false" ht="15" hidden="false" customHeight="false" outlineLevel="0" collapsed="false">
      <c r="A164" s="2" t="n">
        <v>163</v>
      </c>
      <c r="B164" s="2" t="s">
        <v>36</v>
      </c>
      <c r="C164" s="2" t="s">
        <v>34</v>
      </c>
      <c r="D164" s="2" t="s">
        <v>14</v>
      </c>
      <c r="E164" s="2" t="s">
        <v>15</v>
      </c>
      <c r="F164" s="2" t="s">
        <v>18</v>
      </c>
      <c r="G164" s="2" t="n">
        <v>17</v>
      </c>
      <c r="H164" s="3" t="n">
        <v>28000</v>
      </c>
      <c r="I164" s="3" t="n">
        <f aca="false">G164*H164</f>
        <v>476000</v>
      </c>
      <c r="J164" s="3" t="n">
        <v>845269</v>
      </c>
      <c r="K164" s="4" t="n">
        <f aca="false">IF(J164&gt;0,I164/J164,0)</f>
        <v>0.563134339482461</v>
      </c>
      <c r="L164" s="2" t="str">
        <f aca="false">IF(K164&gt;=1,"✅ Achieved","❌ Below Target")</f>
        <v>❌ Below Target</v>
      </c>
    </row>
    <row r="165" customFormat="false" ht="15" hidden="false" customHeight="false" outlineLevel="0" collapsed="false">
      <c r="A165" s="5" t="n">
        <v>164</v>
      </c>
      <c r="B165" s="5" t="s">
        <v>36</v>
      </c>
      <c r="C165" s="5" t="s">
        <v>34</v>
      </c>
      <c r="D165" s="5" t="s">
        <v>14</v>
      </c>
      <c r="E165" s="5" t="s">
        <v>15</v>
      </c>
      <c r="F165" s="5" t="s">
        <v>19</v>
      </c>
      <c r="G165" s="5" t="n">
        <v>58</v>
      </c>
      <c r="H165" s="6" t="n">
        <v>3500</v>
      </c>
      <c r="I165" s="6" t="n">
        <f aca="false">G165*H165</f>
        <v>203000</v>
      </c>
      <c r="J165" s="6" t="n">
        <v>504520</v>
      </c>
      <c r="K165" s="7" t="n">
        <f aca="false">IF(J165&gt;0,I165/J165,0)</f>
        <v>0.402362641718862</v>
      </c>
      <c r="L165" s="5" t="str">
        <f aca="false">IF(K165&gt;=1,"✅ Achieved","❌ Below Target")</f>
        <v>❌ Below Target</v>
      </c>
    </row>
    <row r="166" customFormat="false" ht="15" hidden="false" customHeight="false" outlineLevel="0" collapsed="false">
      <c r="A166" s="2" t="n">
        <v>165</v>
      </c>
      <c r="B166" s="2" t="s">
        <v>36</v>
      </c>
      <c r="C166" s="2" t="s">
        <v>34</v>
      </c>
      <c r="D166" s="2" t="s">
        <v>14</v>
      </c>
      <c r="E166" s="2" t="s">
        <v>15</v>
      </c>
      <c r="F166" s="2" t="s">
        <v>20</v>
      </c>
      <c r="G166" s="2" t="n">
        <v>59</v>
      </c>
      <c r="H166" s="3" t="n">
        <v>12000</v>
      </c>
      <c r="I166" s="3" t="n">
        <f aca="false">G166*H166</f>
        <v>708000</v>
      </c>
      <c r="J166" s="3" t="n">
        <v>1056171</v>
      </c>
      <c r="K166" s="4" t="n">
        <f aca="false">IF(J166&gt;0,I166/J166,0)</f>
        <v>0.670345995108747</v>
      </c>
      <c r="L166" s="2" t="str">
        <f aca="false">IF(K166&gt;=1,"✅ Achieved","❌ Below Target")</f>
        <v>❌ Below Target</v>
      </c>
    </row>
    <row r="167" customFormat="false" ht="15" hidden="false" customHeight="false" outlineLevel="0" collapsed="false">
      <c r="A167" s="5" t="n">
        <v>166</v>
      </c>
      <c r="B167" s="5" t="s">
        <v>36</v>
      </c>
      <c r="C167" s="5" t="s">
        <v>34</v>
      </c>
      <c r="D167" s="5" t="s">
        <v>21</v>
      </c>
      <c r="E167" s="5" t="s">
        <v>22</v>
      </c>
      <c r="F167" s="5" t="s">
        <v>16</v>
      </c>
      <c r="G167" s="5" t="n">
        <v>110</v>
      </c>
      <c r="H167" s="6" t="n">
        <v>55000</v>
      </c>
      <c r="I167" s="6" t="n">
        <f aca="false">G167*H167</f>
        <v>6050000</v>
      </c>
      <c r="J167" s="6" t="n">
        <v>1454221</v>
      </c>
      <c r="K167" s="7" t="n">
        <f aca="false">IF(J167&gt;0,I167/J167,0)</f>
        <v>4.16030300758963</v>
      </c>
      <c r="L167" s="5" t="str">
        <f aca="false">IF(K167&gt;=1,"✅ Achieved","❌ Below Target")</f>
        <v>✅ Achieved</v>
      </c>
    </row>
    <row r="168" customFormat="false" ht="15" hidden="false" customHeight="false" outlineLevel="0" collapsed="false">
      <c r="A168" s="2" t="n">
        <v>167</v>
      </c>
      <c r="B168" s="2" t="s">
        <v>36</v>
      </c>
      <c r="C168" s="2" t="s">
        <v>34</v>
      </c>
      <c r="D168" s="2" t="s">
        <v>21</v>
      </c>
      <c r="E168" s="2" t="s">
        <v>22</v>
      </c>
      <c r="F168" s="2" t="s">
        <v>17</v>
      </c>
      <c r="G168" s="2" t="n">
        <v>46</v>
      </c>
      <c r="H168" s="3" t="n">
        <v>18000</v>
      </c>
      <c r="I168" s="3" t="n">
        <f aca="false">G168*H168</f>
        <v>828000</v>
      </c>
      <c r="J168" s="3" t="n">
        <v>1387110</v>
      </c>
      <c r="K168" s="4" t="n">
        <f aca="false">IF(J168&gt;0,I168/J168,0)</f>
        <v>0.596924540952051</v>
      </c>
      <c r="L168" s="2" t="str">
        <f aca="false">IF(K168&gt;=1,"✅ Achieved","❌ Below Target")</f>
        <v>❌ Below Target</v>
      </c>
    </row>
    <row r="169" customFormat="false" ht="15" hidden="false" customHeight="false" outlineLevel="0" collapsed="false">
      <c r="A169" s="5" t="n">
        <v>168</v>
      </c>
      <c r="B169" s="5" t="s">
        <v>36</v>
      </c>
      <c r="C169" s="5" t="s">
        <v>34</v>
      </c>
      <c r="D169" s="5" t="s">
        <v>21</v>
      </c>
      <c r="E169" s="5" t="s">
        <v>22</v>
      </c>
      <c r="F169" s="5" t="s">
        <v>18</v>
      </c>
      <c r="G169" s="5" t="n">
        <v>99</v>
      </c>
      <c r="H169" s="6" t="n">
        <v>28000</v>
      </c>
      <c r="I169" s="6" t="n">
        <f aca="false">G169*H169</f>
        <v>2772000</v>
      </c>
      <c r="J169" s="6" t="n">
        <v>1665530</v>
      </c>
      <c r="K169" s="7" t="n">
        <f aca="false">IF(J169&gt;0,I169/J169,0)</f>
        <v>1.66433507652219</v>
      </c>
      <c r="L169" s="5" t="str">
        <f aca="false">IF(K169&gt;=1,"✅ Achieved","❌ Below Target")</f>
        <v>✅ Achieved</v>
      </c>
    </row>
    <row r="170" customFormat="false" ht="15" hidden="false" customHeight="false" outlineLevel="0" collapsed="false">
      <c r="A170" s="2" t="n">
        <v>169</v>
      </c>
      <c r="B170" s="2" t="s">
        <v>36</v>
      </c>
      <c r="C170" s="2" t="s">
        <v>34</v>
      </c>
      <c r="D170" s="2" t="s">
        <v>21</v>
      </c>
      <c r="E170" s="2" t="s">
        <v>22</v>
      </c>
      <c r="F170" s="2" t="s">
        <v>19</v>
      </c>
      <c r="G170" s="2" t="n">
        <v>94</v>
      </c>
      <c r="H170" s="3" t="n">
        <v>3500</v>
      </c>
      <c r="I170" s="3" t="n">
        <f aca="false">G170*H170</f>
        <v>329000</v>
      </c>
      <c r="J170" s="3" t="n">
        <v>1520623</v>
      </c>
      <c r="K170" s="4" t="n">
        <f aca="false">IF(J170&gt;0,I170/J170,0)</f>
        <v>0.216358689826472</v>
      </c>
      <c r="L170" s="2" t="str">
        <f aca="false">IF(K170&gt;=1,"✅ Achieved","❌ Below Target")</f>
        <v>❌ Below Target</v>
      </c>
    </row>
    <row r="171" customFormat="false" ht="15" hidden="false" customHeight="false" outlineLevel="0" collapsed="false">
      <c r="A171" s="5" t="n">
        <v>170</v>
      </c>
      <c r="B171" s="5" t="s">
        <v>36</v>
      </c>
      <c r="C171" s="5" t="s">
        <v>34</v>
      </c>
      <c r="D171" s="5" t="s">
        <v>21</v>
      </c>
      <c r="E171" s="5" t="s">
        <v>22</v>
      </c>
      <c r="F171" s="5" t="s">
        <v>20</v>
      </c>
      <c r="G171" s="5" t="n">
        <v>29</v>
      </c>
      <c r="H171" s="6" t="n">
        <v>12000</v>
      </c>
      <c r="I171" s="6" t="n">
        <f aca="false">G171*H171</f>
        <v>348000</v>
      </c>
      <c r="J171" s="6" t="n">
        <v>898244</v>
      </c>
      <c r="K171" s="7" t="n">
        <f aca="false">IF(J171&gt;0,I171/J171,0)</f>
        <v>0.387422571149933</v>
      </c>
      <c r="L171" s="5" t="str">
        <f aca="false">IF(K171&gt;=1,"✅ Achieved","❌ Below Target")</f>
        <v>❌ Below Target</v>
      </c>
    </row>
    <row r="172" customFormat="false" ht="15" hidden="false" customHeight="false" outlineLevel="0" collapsed="false">
      <c r="A172" s="2" t="n">
        <v>171</v>
      </c>
      <c r="B172" s="2" t="s">
        <v>36</v>
      </c>
      <c r="C172" s="2" t="s">
        <v>34</v>
      </c>
      <c r="D172" s="2" t="s">
        <v>23</v>
      </c>
      <c r="E172" s="2" t="s">
        <v>24</v>
      </c>
      <c r="F172" s="2" t="s">
        <v>16</v>
      </c>
      <c r="G172" s="2" t="n">
        <v>47</v>
      </c>
      <c r="H172" s="3" t="n">
        <v>55000</v>
      </c>
      <c r="I172" s="3" t="n">
        <f aca="false">G172*H172</f>
        <v>2585000</v>
      </c>
      <c r="J172" s="3" t="n">
        <v>956551</v>
      </c>
      <c r="K172" s="4" t="n">
        <f aca="false">IF(J172&gt;0,I172/J172,0)</f>
        <v>2.70241733059711</v>
      </c>
      <c r="L172" s="2" t="str">
        <f aca="false">IF(K172&gt;=1,"✅ Achieved","❌ Below Target")</f>
        <v>✅ Achieved</v>
      </c>
    </row>
    <row r="173" customFormat="false" ht="15" hidden="false" customHeight="false" outlineLevel="0" collapsed="false">
      <c r="A173" s="5" t="n">
        <v>172</v>
      </c>
      <c r="B173" s="5" t="s">
        <v>36</v>
      </c>
      <c r="C173" s="5" t="s">
        <v>34</v>
      </c>
      <c r="D173" s="5" t="s">
        <v>23</v>
      </c>
      <c r="E173" s="5" t="s">
        <v>24</v>
      </c>
      <c r="F173" s="5" t="s">
        <v>17</v>
      </c>
      <c r="G173" s="5" t="n">
        <v>17</v>
      </c>
      <c r="H173" s="6" t="n">
        <v>18000</v>
      </c>
      <c r="I173" s="6" t="n">
        <f aca="false">G173*H173</f>
        <v>306000</v>
      </c>
      <c r="J173" s="6" t="n">
        <v>1714629</v>
      </c>
      <c r="K173" s="7" t="n">
        <f aca="false">IF(J173&gt;0,I173/J173,0)</f>
        <v>0.178464262531428</v>
      </c>
      <c r="L173" s="5" t="str">
        <f aca="false">IF(K173&gt;=1,"✅ Achieved","❌ Below Target")</f>
        <v>❌ Below Target</v>
      </c>
    </row>
    <row r="174" customFormat="false" ht="15" hidden="false" customHeight="false" outlineLevel="0" collapsed="false">
      <c r="A174" s="2" t="n">
        <v>173</v>
      </c>
      <c r="B174" s="2" t="s">
        <v>36</v>
      </c>
      <c r="C174" s="2" t="s">
        <v>34</v>
      </c>
      <c r="D174" s="2" t="s">
        <v>23</v>
      </c>
      <c r="E174" s="2" t="s">
        <v>24</v>
      </c>
      <c r="F174" s="2" t="s">
        <v>18</v>
      </c>
      <c r="G174" s="2" t="n">
        <v>104</v>
      </c>
      <c r="H174" s="3" t="n">
        <v>28000</v>
      </c>
      <c r="I174" s="3" t="n">
        <f aca="false">G174*H174</f>
        <v>2912000</v>
      </c>
      <c r="J174" s="3" t="n">
        <v>1637065</v>
      </c>
      <c r="K174" s="4" t="n">
        <f aca="false">IF(J174&gt;0,I174/J174,0)</f>
        <v>1.77879314504922</v>
      </c>
      <c r="L174" s="2" t="str">
        <f aca="false">IF(K174&gt;=1,"✅ Achieved","❌ Below Target")</f>
        <v>✅ Achieved</v>
      </c>
    </row>
    <row r="175" customFormat="false" ht="15" hidden="false" customHeight="false" outlineLevel="0" collapsed="false">
      <c r="A175" s="5" t="n">
        <v>174</v>
      </c>
      <c r="B175" s="5" t="s">
        <v>36</v>
      </c>
      <c r="C175" s="5" t="s">
        <v>34</v>
      </c>
      <c r="D175" s="5" t="s">
        <v>23</v>
      </c>
      <c r="E175" s="5" t="s">
        <v>24</v>
      </c>
      <c r="F175" s="5" t="s">
        <v>19</v>
      </c>
      <c r="G175" s="5" t="n">
        <v>17</v>
      </c>
      <c r="H175" s="6" t="n">
        <v>3500</v>
      </c>
      <c r="I175" s="6" t="n">
        <f aca="false">G175*H175</f>
        <v>59500</v>
      </c>
      <c r="J175" s="6" t="n">
        <v>1157676</v>
      </c>
      <c r="K175" s="7" t="n">
        <f aca="false">IF(J175&gt;0,I175/J175,0)</f>
        <v>0.0513960728217567</v>
      </c>
      <c r="L175" s="5" t="str">
        <f aca="false">IF(K175&gt;=1,"✅ Achieved","❌ Below Target")</f>
        <v>❌ Below Target</v>
      </c>
    </row>
    <row r="176" customFormat="false" ht="15" hidden="false" customHeight="false" outlineLevel="0" collapsed="false">
      <c r="A176" s="2" t="n">
        <v>175</v>
      </c>
      <c r="B176" s="2" t="s">
        <v>36</v>
      </c>
      <c r="C176" s="2" t="s">
        <v>34</v>
      </c>
      <c r="D176" s="2" t="s">
        <v>23</v>
      </c>
      <c r="E176" s="2" t="s">
        <v>24</v>
      </c>
      <c r="F176" s="2" t="s">
        <v>20</v>
      </c>
      <c r="G176" s="2" t="n">
        <v>17</v>
      </c>
      <c r="H176" s="3" t="n">
        <v>12000</v>
      </c>
      <c r="I176" s="3" t="n">
        <f aca="false">G176*H176</f>
        <v>204000</v>
      </c>
      <c r="J176" s="3" t="n">
        <v>605156</v>
      </c>
      <c r="K176" s="4" t="n">
        <f aca="false">IF(J176&gt;0,I176/J176,0)</f>
        <v>0.33710316017688</v>
      </c>
      <c r="L176" s="2" t="str">
        <f aca="false">IF(K176&gt;=1,"✅ Achieved","❌ Below Target")</f>
        <v>❌ Below Target</v>
      </c>
    </row>
    <row r="177" customFormat="false" ht="15" hidden="false" customHeight="false" outlineLevel="0" collapsed="false">
      <c r="A177" s="5" t="n">
        <v>176</v>
      </c>
      <c r="B177" s="5" t="s">
        <v>36</v>
      </c>
      <c r="C177" s="5" t="s">
        <v>34</v>
      </c>
      <c r="D177" s="5" t="s">
        <v>25</v>
      </c>
      <c r="E177" s="5" t="s">
        <v>26</v>
      </c>
      <c r="F177" s="5" t="s">
        <v>16</v>
      </c>
      <c r="G177" s="5" t="n">
        <v>84</v>
      </c>
      <c r="H177" s="6" t="n">
        <v>55000</v>
      </c>
      <c r="I177" s="6" t="n">
        <f aca="false">G177*H177</f>
        <v>4620000</v>
      </c>
      <c r="J177" s="6" t="n">
        <v>1499897</v>
      </c>
      <c r="K177" s="7" t="n">
        <f aca="false">IF(J177&gt;0,I177/J177,0)</f>
        <v>3.08021150785687</v>
      </c>
      <c r="L177" s="5" t="str">
        <f aca="false">IF(K177&gt;=1,"✅ Achieved","❌ Below Target")</f>
        <v>✅ Achieved</v>
      </c>
    </row>
    <row r="178" customFormat="false" ht="15" hidden="false" customHeight="false" outlineLevel="0" collapsed="false">
      <c r="A178" s="2" t="n">
        <v>177</v>
      </c>
      <c r="B178" s="2" t="s">
        <v>36</v>
      </c>
      <c r="C178" s="2" t="s">
        <v>34</v>
      </c>
      <c r="D178" s="2" t="s">
        <v>25</v>
      </c>
      <c r="E178" s="2" t="s">
        <v>26</v>
      </c>
      <c r="F178" s="2" t="s">
        <v>17</v>
      </c>
      <c r="G178" s="2" t="n">
        <v>74</v>
      </c>
      <c r="H178" s="3" t="n">
        <v>18000</v>
      </c>
      <c r="I178" s="3" t="n">
        <f aca="false">G178*H178</f>
        <v>1332000</v>
      </c>
      <c r="J178" s="3" t="n">
        <v>1613852</v>
      </c>
      <c r="K178" s="4" t="n">
        <f aca="false">IF(J178&gt;0,I178/J178,0)</f>
        <v>0.82535449347276</v>
      </c>
      <c r="L178" s="2" t="str">
        <f aca="false">IF(K178&gt;=1,"✅ Achieved","❌ Below Target")</f>
        <v>❌ Below Target</v>
      </c>
    </row>
    <row r="179" customFormat="false" ht="15" hidden="false" customHeight="false" outlineLevel="0" collapsed="false">
      <c r="A179" s="5" t="n">
        <v>178</v>
      </c>
      <c r="B179" s="5" t="s">
        <v>36</v>
      </c>
      <c r="C179" s="5" t="s">
        <v>34</v>
      </c>
      <c r="D179" s="5" t="s">
        <v>25</v>
      </c>
      <c r="E179" s="5" t="s">
        <v>26</v>
      </c>
      <c r="F179" s="5" t="s">
        <v>18</v>
      </c>
      <c r="G179" s="5" t="n">
        <v>30</v>
      </c>
      <c r="H179" s="6" t="n">
        <v>28000</v>
      </c>
      <c r="I179" s="6" t="n">
        <f aca="false">G179*H179</f>
        <v>840000</v>
      </c>
      <c r="J179" s="6" t="n">
        <v>619285</v>
      </c>
      <c r="K179" s="7" t="n">
        <f aca="false">IF(J179&gt;0,I179/J179,0)</f>
        <v>1.35640294856165</v>
      </c>
      <c r="L179" s="5" t="str">
        <f aca="false">IF(K179&gt;=1,"✅ Achieved","❌ Below Target")</f>
        <v>✅ Achieved</v>
      </c>
    </row>
    <row r="180" customFormat="false" ht="15" hidden="false" customHeight="false" outlineLevel="0" collapsed="false">
      <c r="A180" s="2" t="n">
        <v>179</v>
      </c>
      <c r="B180" s="2" t="s">
        <v>36</v>
      </c>
      <c r="C180" s="2" t="s">
        <v>34</v>
      </c>
      <c r="D180" s="2" t="s">
        <v>25</v>
      </c>
      <c r="E180" s="2" t="s">
        <v>26</v>
      </c>
      <c r="F180" s="2" t="s">
        <v>19</v>
      </c>
      <c r="G180" s="2" t="n">
        <v>75</v>
      </c>
      <c r="H180" s="3" t="n">
        <v>3500</v>
      </c>
      <c r="I180" s="3" t="n">
        <f aca="false">G180*H180</f>
        <v>262500</v>
      </c>
      <c r="J180" s="3" t="n">
        <v>668005</v>
      </c>
      <c r="K180" s="4" t="n">
        <f aca="false">IF(J180&gt;0,I180/J180,0)</f>
        <v>0.39296113053046</v>
      </c>
      <c r="L180" s="2" t="str">
        <f aca="false">IF(K180&gt;=1,"✅ Achieved","❌ Below Target")</f>
        <v>❌ Below Target</v>
      </c>
    </row>
    <row r="181" customFormat="false" ht="15" hidden="false" customHeight="false" outlineLevel="0" collapsed="false">
      <c r="A181" s="5" t="n">
        <v>180</v>
      </c>
      <c r="B181" s="5" t="s">
        <v>36</v>
      </c>
      <c r="C181" s="5" t="s">
        <v>34</v>
      </c>
      <c r="D181" s="5" t="s">
        <v>25</v>
      </c>
      <c r="E181" s="5" t="s">
        <v>26</v>
      </c>
      <c r="F181" s="5" t="s">
        <v>20</v>
      </c>
      <c r="G181" s="5" t="n">
        <v>118</v>
      </c>
      <c r="H181" s="6" t="n">
        <v>12000</v>
      </c>
      <c r="I181" s="6" t="n">
        <f aca="false">G181*H181</f>
        <v>1416000</v>
      </c>
      <c r="J181" s="6" t="n">
        <v>889703</v>
      </c>
      <c r="K181" s="7" t="n">
        <f aca="false">IF(J181&gt;0,I181/J181,0)</f>
        <v>1.59154234615372</v>
      </c>
      <c r="L181" s="5" t="str">
        <f aca="false">IF(K181&gt;=1,"✅ Achieved","❌ Below Target")</f>
        <v>✅ Achieved</v>
      </c>
    </row>
    <row r="182" customFormat="false" ht="15" hidden="false" customHeight="false" outlineLevel="0" collapsed="false">
      <c r="A182" s="2" t="n">
        <v>181</v>
      </c>
      <c r="B182" s="2" t="s">
        <v>37</v>
      </c>
      <c r="C182" s="2" t="s">
        <v>38</v>
      </c>
      <c r="D182" s="2" t="s">
        <v>14</v>
      </c>
      <c r="E182" s="2" t="s">
        <v>15</v>
      </c>
      <c r="F182" s="2" t="s">
        <v>16</v>
      </c>
      <c r="G182" s="2" t="n">
        <v>18</v>
      </c>
      <c r="H182" s="3" t="n">
        <v>55000</v>
      </c>
      <c r="I182" s="3" t="n">
        <f aca="false">G182*H182</f>
        <v>990000</v>
      </c>
      <c r="J182" s="3" t="n">
        <v>1747879</v>
      </c>
      <c r="K182" s="4" t="n">
        <f aca="false">IF(J182&gt;0,I182/J182,0)</f>
        <v>0.566400763439575</v>
      </c>
      <c r="L182" s="2" t="str">
        <f aca="false">IF(K182&gt;=1,"✅ Achieved","❌ Below Target")</f>
        <v>❌ Below Target</v>
      </c>
    </row>
    <row r="183" customFormat="false" ht="15" hidden="false" customHeight="false" outlineLevel="0" collapsed="false">
      <c r="A183" s="5" t="n">
        <v>182</v>
      </c>
      <c r="B183" s="5" t="s">
        <v>37</v>
      </c>
      <c r="C183" s="5" t="s">
        <v>38</v>
      </c>
      <c r="D183" s="5" t="s">
        <v>14</v>
      </c>
      <c r="E183" s="5" t="s">
        <v>15</v>
      </c>
      <c r="F183" s="5" t="s">
        <v>17</v>
      </c>
      <c r="G183" s="5" t="n">
        <v>18</v>
      </c>
      <c r="H183" s="6" t="n">
        <v>18000</v>
      </c>
      <c r="I183" s="6" t="n">
        <f aca="false">G183*H183</f>
        <v>324000</v>
      </c>
      <c r="J183" s="6" t="n">
        <v>1916023</v>
      </c>
      <c r="K183" s="7" t="n">
        <f aca="false">IF(J183&gt;0,I183/J183,0)</f>
        <v>0.169100266541686</v>
      </c>
      <c r="L183" s="5" t="str">
        <f aca="false">IF(K183&gt;=1,"✅ Achieved","❌ Below Target")</f>
        <v>❌ Below Target</v>
      </c>
    </row>
    <row r="184" customFormat="false" ht="15" hidden="false" customHeight="false" outlineLevel="0" collapsed="false">
      <c r="A184" s="2" t="n">
        <v>183</v>
      </c>
      <c r="B184" s="2" t="s">
        <v>37</v>
      </c>
      <c r="C184" s="2" t="s">
        <v>38</v>
      </c>
      <c r="D184" s="2" t="s">
        <v>14</v>
      </c>
      <c r="E184" s="2" t="s">
        <v>15</v>
      </c>
      <c r="F184" s="2" t="s">
        <v>18</v>
      </c>
      <c r="G184" s="2" t="n">
        <v>120</v>
      </c>
      <c r="H184" s="3" t="n">
        <v>28000</v>
      </c>
      <c r="I184" s="3" t="n">
        <f aca="false">G184*H184</f>
        <v>3360000</v>
      </c>
      <c r="J184" s="3" t="n">
        <v>993258</v>
      </c>
      <c r="K184" s="4" t="n">
        <f aca="false">IF(J184&gt;0,I184/J184,0)</f>
        <v>3.38280688401201</v>
      </c>
      <c r="L184" s="2" t="str">
        <f aca="false">IF(K184&gt;=1,"✅ Achieved","❌ Below Target")</f>
        <v>✅ Achieved</v>
      </c>
    </row>
    <row r="185" customFormat="false" ht="15" hidden="false" customHeight="false" outlineLevel="0" collapsed="false">
      <c r="A185" s="5" t="n">
        <v>184</v>
      </c>
      <c r="B185" s="5" t="s">
        <v>37</v>
      </c>
      <c r="C185" s="5" t="s">
        <v>38</v>
      </c>
      <c r="D185" s="5" t="s">
        <v>14</v>
      </c>
      <c r="E185" s="5" t="s">
        <v>15</v>
      </c>
      <c r="F185" s="5" t="s">
        <v>19</v>
      </c>
      <c r="G185" s="5" t="n">
        <v>61</v>
      </c>
      <c r="H185" s="6" t="n">
        <v>3500</v>
      </c>
      <c r="I185" s="6" t="n">
        <f aca="false">G185*H185</f>
        <v>213500</v>
      </c>
      <c r="J185" s="6" t="n">
        <v>751420</v>
      </c>
      <c r="K185" s="7" t="n">
        <f aca="false">IF(J185&gt;0,I185/J185,0)</f>
        <v>0.284128716297144</v>
      </c>
      <c r="L185" s="5" t="str">
        <f aca="false">IF(K185&gt;=1,"✅ Achieved","❌ Below Target")</f>
        <v>❌ Below Target</v>
      </c>
    </row>
    <row r="186" customFormat="false" ht="15" hidden="false" customHeight="false" outlineLevel="0" collapsed="false">
      <c r="A186" s="2" t="n">
        <v>185</v>
      </c>
      <c r="B186" s="2" t="s">
        <v>37</v>
      </c>
      <c r="C186" s="2" t="s">
        <v>38</v>
      </c>
      <c r="D186" s="2" t="s">
        <v>14</v>
      </c>
      <c r="E186" s="2" t="s">
        <v>15</v>
      </c>
      <c r="F186" s="2" t="s">
        <v>20</v>
      </c>
      <c r="G186" s="2" t="n">
        <v>82</v>
      </c>
      <c r="H186" s="3" t="n">
        <v>12000</v>
      </c>
      <c r="I186" s="3" t="n">
        <f aca="false">G186*H186</f>
        <v>984000</v>
      </c>
      <c r="J186" s="3" t="n">
        <v>1016351</v>
      </c>
      <c r="K186" s="4" t="n">
        <f aca="false">IF(J186&gt;0,I186/J186,0)</f>
        <v>0.968169461140885</v>
      </c>
      <c r="L186" s="2" t="str">
        <f aca="false">IF(K186&gt;=1,"✅ Achieved","❌ Below Target")</f>
        <v>❌ Below Target</v>
      </c>
    </row>
    <row r="187" customFormat="false" ht="15" hidden="false" customHeight="false" outlineLevel="0" collapsed="false">
      <c r="A187" s="5" t="n">
        <v>186</v>
      </c>
      <c r="B187" s="5" t="s">
        <v>37</v>
      </c>
      <c r="C187" s="5" t="s">
        <v>38</v>
      </c>
      <c r="D187" s="5" t="s">
        <v>21</v>
      </c>
      <c r="E187" s="5" t="s">
        <v>22</v>
      </c>
      <c r="F187" s="5" t="s">
        <v>16</v>
      </c>
      <c r="G187" s="5" t="n">
        <v>84</v>
      </c>
      <c r="H187" s="6" t="n">
        <v>55000</v>
      </c>
      <c r="I187" s="6" t="n">
        <f aca="false">G187*H187</f>
        <v>4620000</v>
      </c>
      <c r="J187" s="6" t="n">
        <v>1746797</v>
      </c>
      <c r="K187" s="7" t="n">
        <f aca="false">IF(J187&gt;0,I187/J187,0)</f>
        <v>2.64484081435908</v>
      </c>
      <c r="L187" s="5" t="str">
        <f aca="false">IF(K187&gt;=1,"✅ Achieved","❌ Below Target")</f>
        <v>✅ Achieved</v>
      </c>
    </row>
    <row r="188" customFormat="false" ht="15" hidden="false" customHeight="false" outlineLevel="0" collapsed="false">
      <c r="A188" s="2" t="n">
        <v>187</v>
      </c>
      <c r="B188" s="2" t="s">
        <v>37</v>
      </c>
      <c r="C188" s="2" t="s">
        <v>38</v>
      </c>
      <c r="D188" s="2" t="s">
        <v>21</v>
      </c>
      <c r="E188" s="2" t="s">
        <v>22</v>
      </c>
      <c r="F188" s="2" t="s">
        <v>17</v>
      </c>
      <c r="G188" s="2" t="n">
        <v>15</v>
      </c>
      <c r="H188" s="3" t="n">
        <v>18000</v>
      </c>
      <c r="I188" s="3" t="n">
        <f aca="false">G188*H188</f>
        <v>270000</v>
      </c>
      <c r="J188" s="3" t="n">
        <v>1798937</v>
      </c>
      <c r="K188" s="4" t="n">
        <f aca="false">IF(J188&gt;0,I188/J188,0)</f>
        <v>0.150088635677625</v>
      </c>
      <c r="L188" s="2" t="str">
        <f aca="false">IF(K188&gt;=1,"✅ Achieved","❌ Below Target")</f>
        <v>❌ Below Target</v>
      </c>
    </row>
    <row r="189" customFormat="false" ht="15" hidden="false" customHeight="false" outlineLevel="0" collapsed="false">
      <c r="A189" s="5" t="n">
        <v>188</v>
      </c>
      <c r="B189" s="5" t="s">
        <v>37</v>
      </c>
      <c r="C189" s="5" t="s">
        <v>38</v>
      </c>
      <c r="D189" s="5" t="s">
        <v>21</v>
      </c>
      <c r="E189" s="5" t="s">
        <v>22</v>
      </c>
      <c r="F189" s="5" t="s">
        <v>18</v>
      </c>
      <c r="G189" s="5" t="n">
        <v>20</v>
      </c>
      <c r="H189" s="6" t="n">
        <v>28000</v>
      </c>
      <c r="I189" s="6" t="n">
        <f aca="false">G189*H189</f>
        <v>560000</v>
      </c>
      <c r="J189" s="6" t="n">
        <v>1379178</v>
      </c>
      <c r="K189" s="7" t="n">
        <f aca="false">IF(J189&gt;0,I189/J189,0)</f>
        <v>0.406038959438158</v>
      </c>
      <c r="L189" s="5" t="str">
        <f aca="false">IF(K189&gt;=1,"✅ Achieved","❌ Below Target")</f>
        <v>❌ Below Target</v>
      </c>
    </row>
    <row r="190" customFormat="false" ht="15" hidden="false" customHeight="false" outlineLevel="0" collapsed="false">
      <c r="A190" s="2" t="n">
        <v>189</v>
      </c>
      <c r="B190" s="2" t="s">
        <v>37</v>
      </c>
      <c r="C190" s="2" t="s">
        <v>38</v>
      </c>
      <c r="D190" s="2" t="s">
        <v>21</v>
      </c>
      <c r="E190" s="2" t="s">
        <v>22</v>
      </c>
      <c r="F190" s="2" t="s">
        <v>19</v>
      </c>
      <c r="G190" s="2" t="n">
        <v>94</v>
      </c>
      <c r="H190" s="3" t="n">
        <v>3500</v>
      </c>
      <c r="I190" s="3" t="n">
        <f aca="false">G190*H190</f>
        <v>329000</v>
      </c>
      <c r="J190" s="3" t="n">
        <v>1724049</v>
      </c>
      <c r="K190" s="4" t="n">
        <f aca="false">IF(J190&gt;0,I190/J190,0)</f>
        <v>0.190829843003302</v>
      </c>
      <c r="L190" s="2" t="str">
        <f aca="false">IF(K190&gt;=1,"✅ Achieved","❌ Below Target")</f>
        <v>❌ Below Target</v>
      </c>
    </row>
    <row r="191" customFormat="false" ht="15" hidden="false" customHeight="false" outlineLevel="0" collapsed="false">
      <c r="A191" s="5" t="n">
        <v>190</v>
      </c>
      <c r="B191" s="5" t="s">
        <v>37</v>
      </c>
      <c r="C191" s="5" t="s">
        <v>38</v>
      </c>
      <c r="D191" s="5" t="s">
        <v>21</v>
      </c>
      <c r="E191" s="5" t="s">
        <v>22</v>
      </c>
      <c r="F191" s="5" t="s">
        <v>20</v>
      </c>
      <c r="G191" s="5" t="n">
        <v>82</v>
      </c>
      <c r="H191" s="6" t="n">
        <v>12000</v>
      </c>
      <c r="I191" s="6" t="n">
        <f aca="false">G191*H191</f>
        <v>984000</v>
      </c>
      <c r="J191" s="6" t="n">
        <v>1596354</v>
      </c>
      <c r="K191" s="7" t="n">
        <f aca="false">IF(J191&gt;0,I191/J191,0)</f>
        <v>0.616404632055296</v>
      </c>
      <c r="L191" s="5" t="str">
        <f aca="false">IF(K191&gt;=1,"✅ Achieved","❌ Below Target")</f>
        <v>❌ Below Target</v>
      </c>
    </row>
    <row r="192" customFormat="false" ht="15" hidden="false" customHeight="false" outlineLevel="0" collapsed="false">
      <c r="A192" s="2" t="n">
        <v>191</v>
      </c>
      <c r="B192" s="2" t="s">
        <v>37</v>
      </c>
      <c r="C192" s="2" t="s">
        <v>38</v>
      </c>
      <c r="D192" s="2" t="s">
        <v>23</v>
      </c>
      <c r="E192" s="2" t="s">
        <v>24</v>
      </c>
      <c r="F192" s="2" t="s">
        <v>16</v>
      </c>
      <c r="G192" s="2" t="n">
        <v>50</v>
      </c>
      <c r="H192" s="3" t="n">
        <v>55000</v>
      </c>
      <c r="I192" s="3" t="n">
        <f aca="false">G192*H192</f>
        <v>2750000</v>
      </c>
      <c r="J192" s="3" t="n">
        <v>1046865</v>
      </c>
      <c r="K192" s="4" t="n">
        <f aca="false">IF(J192&gt;0,I192/J192,0)</f>
        <v>2.62689076432969</v>
      </c>
      <c r="L192" s="2" t="str">
        <f aca="false">IF(K192&gt;=1,"✅ Achieved","❌ Below Target")</f>
        <v>✅ Achieved</v>
      </c>
    </row>
    <row r="193" customFormat="false" ht="15" hidden="false" customHeight="false" outlineLevel="0" collapsed="false">
      <c r="A193" s="5" t="n">
        <v>192</v>
      </c>
      <c r="B193" s="5" t="s">
        <v>37</v>
      </c>
      <c r="C193" s="5" t="s">
        <v>38</v>
      </c>
      <c r="D193" s="5" t="s">
        <v>23</v>
      </c>
      <c r="E193" s="5" t="s">
        <v>24</v>
      </c>
      <c r="F193" s="5" t="s">
        <v>17</v>
      </c>
      <c r="G193" s="5" t="n">
        <v>36</v>
      </c>
      <c r="H193" s="6" t="n">
        <v>18000</v>
      </c>
      <c r="I193" s="6" t="n">
        <f aca="false">G193*H193</f>
        <v>648000</v>
      </c>
      <c r="J193" s="6" t="n">
        <v>1904517</v>
      </c>
      <c r="K193" s="7" t="n">
        <f aca="false">IF(J193&gt;0,I193/J193,0)</f>
        <v>0.34024374683975</v>
      </c>
      <c r="L193" s="5" t="str">
        <f aca="false">IF(K193&gt;=1,"✅ Achieved","❌ Below Target")</f>
        <v>❌ Below Target</v>
      </c>
    </row>
    <row r="194" customFormat="false" ht="15" hidden="false" customHeight="false" outlineLevel="0" collapsed="false">
      <c r="A194" s="2" t="n">
        <v>193</v>
      </c>
      <c r="B194" s="2" t="s">
        <v>37</v>
      </c>
      <c r="C194" s="2" t="s">
        <v>38</v>
      </c>
      <c r="D194" s="2" t="s">
        <v>23</v>
      </c>
      <c r="E194" s="2" t="s">
        <v>24</v>
      </c>
      <c r="F194" s="2" t="s">
        <v>18</v>
      </c>
      <c r="G194" s="2" t="n">
        <v>101</v>
      </c>
      <c r="H194" s="3" t="n">
        <v>28000</v>
      </c>
      <c r="I194" s="3" t="n">
        <f aca="false">G194*H194</f>
        <v>2828000</v>
      </c>
      <c r="J194" s="3" t="n">
        <v>1158891</v>
      </c>
      <c r="K194" s="4" t="n">
        <f aca="false">IF(J194&gt;0,I194/J194,0)</f>
        <v>2.44026401102433</v>
      </c>
      <c r="L194" s="2" t="str">
        <f aca="false">IF(K194&gt;=1,"✅ Achieved","❌ Below Target")</f>
        <v>✅ Achieved</v>
      </c>
    </row>
    <row r="195" customFormat="false" ht="15" hidden="false" customHeight="false" outlineLevel="0" collapsed="false">
      <c r="A195" s="5" t="n">
        <v>194</v>
      </c>
      <c r="B195" s="5" t="s">
        <v>37</v>
      </c>
      <c r="C195" s="5" t="s">
        <v>38</v>
      </c>
      <c r="D195" s="5" t="s">
        <v>23</v>
      </c>
      <c r="E195" s="5" t="s">
        <v>24</v>
      </c>
      <c r="F195" s="5" t="s">
        <v>19</v>
      </c>
      <c r="G195" s="5" t="n">
        <v>40</v>
      </c>
      <c r="H195" s="6" t="n">
        <v>3500</v>
      </c>
      <c r="I195" s="6" t="n">
        <f aca="false">G195*H195</f>
        <v>140000</v>
      </c>
      <c r="J195" s="6" t="n">
        <v>1057034</v>
      </c>
      <c r="K195" s="7" t="n">
        <f aca="false">IF(J195&gt;0,I195/J195,0)</f>
        <v>0.132446070798101</v>
      </c>
      <c r="L195" s="5" t="str">
        <f aca="false">IF(K195&gt;=1,"✅ Achieved","❌ Below Target")</f>
        <v>❌ Below Target</v>
      </c>
    </row>
    <row r="196" customFormat="false" ht="15" hidden="false" customHeight="false" outlineLevel="0" collapsed="false">
      <c r="A196" s="2" t="n">
        <v>195</v>
      </c>
      <c r="B196" s="2" t="s">
        <v>37</v>
      </c>
      <c r="C196" s="2" t="s">
        <v>38</v>
      </c>
      <c r="D196" s="2" t="s">
        <v>23</v>
      </c>
      <c r="E196" s="2" t="s">
        <v>24</v>
      </c>
      <c r="F196" s="2" t="s">
        <v>20</v>
      </c>
      <c r="G196" s="2" t="n">
        <v>60</v>
      </c>
      <c r="H196" s="3" t="n">
        <v>12000</v>
      </c>
      <c r="I196" s="3" t="n">
        <f aca="false">G196*H196</f>
        <v>720000</v>
      </c>
      <c r="J196" s="3" t="n">
        <v>774471</v>
      </c>
      <c r="K196" s="4" t="n">
        <f aca="false">IF(J196&gt;0,I196/J196,0)</f>
        <v>0.929666830649566</v>
      </c>
      <c r="L196" s="2" t="str">
        <f aca="false">IF(K196&gt;=1,"✅ Achieved","❌ Below Target")</f>
        <v>❌ Below Target</v>
      </c>
    </row>
    <row r="197" customFormat="false" ht="15" hidden="false" customHeight="false" outlineLevel="0" collapsed="false">
      <c r="A197" s="5" t="n">
        <v>196</v>
      </c>
      <c r="B197" s="5" t="s">
        <v>37</v>
      </c>
      <c r="C197" s="5" t="s">
        <v>38</v>
      </c>
      <c r="D197" s="5" t="s">
        <v>25</v>
      </c>
      <c r="E197" s="5" t="s">
        <v>26</v>
      </c>
      <c r="F197" s="5" t="s">
        <v>16</v>
      </c>
      <c r="G197" s="5" t="n">
        <v>95</v>
      </c>
      <c r="H197" s="6" t="n">
        <v>55000</v>
      </c>
      <c r="I197" s="6" t="n">
        <f aca="false">G197*H197</f>
        <v>5225000</v>
      </c>
      <c r="J197" s="6" t="n">
        <v>1853713</v>
      </c>
      <c r="K197" s="7" t="n">
        <f aca="false">IF(J197&gt;0,I197/J197,0)</f>
        <v>2.81866718310763</v>
      </c>
      <c r="L197" s="5" t="str">
        <f aca="false">IF(K197&gt;=1,"✅ Achieved","❌ Below Target")</f>
        <v>✅ Achieved</v>
      </c>
    </row>
    <row r="198" customFormat="false" ht="15" hidden="false" customHeight="false" outlineLevel="0" collapsed="false">
      <c r="A198" s="2" t="n">
        <v>197</v>
      </c>
      <c r="B198" s="2" t="s">
        <v>37</v>
      </c>
      <c r="C198" s="2" t="s">
        <v>38</v>
      </c>
      <c r="D198" s="2" t="s">
        <v>25</v>
      </c>
      <c r="E198" s="2" t="s">
        <v>26</v>
      </c>
      <c r="F198" s="2" t="s">
        <v>17</v>
      </c>
      <c r="G198" s="2" t="n">
        <v>48</v>
      </c>
      <c r="H198" s="3" t="n">
        <v>18000</v>
      </c>
      <c r="I198" s="3" t="n">
        <f aca="false">G198*H198</f>
        <v>864000</v>
      </c>
      <c r="J198" s="3" t="n">
        <v>1458869</v>
      </c>
      <c r="K198" s="4" t="n">
        <f aca="false">IF(J198&gt;0,I198/J198,0)</f>
        <v>0.592239604789738</v>
      </c>
      <c r="L198" s="2" t="str">
        <f aca="false">IF(K198&gt;=1,"✅ Achieved","❌ Below Target")</f>
        <v>❌ Below Target</v>
      </c>
    </row>
    <row r="199" customFormat="false" ht="15" hidden="false" customHeight="false" outlineLevel="0" collapsed="false">
      <c r="A199" s="5" t="n">
        <v>198</v>
      </c>
      <c r="B199" s="5" t="s">
        <v>37</v>
      </c>
      <c r="C199" s="5" t="s">
        <v>38</v>
      </c>
      <c r="D199" s="5" t="s">
        <v>25</v>
      </c>
      <c r="E199" s="5" t="s">
        <v>26</v>
      </c>
      <c r="F199" s="5" t="s">
        <v>18</v>
      </c>
      <c r="G199" s="5" t="n">
        <v>50</v>
      </c>
      <c r="H199" s="6" t="n">
        <v>28000</v>
      </c>
      <c r="I199" s="6" t="n">
        <f aca="false">G199*H199</f>
        <v>1400000</v>
      </c>
      <c r="J199" s="6" t="n">
        <v>652133</v>
      </c>
      <c r="K199" s="7" t="n">
        <f aca="false">IF(J199&gt;0,I199/J199,0)</f>
        <v>2.1468013426709</v>
      </c>
      <c r="L199" s="5" t="str">
        <f aca="false">IF(K199&gt;=1,"✅ Achieved","❌ Below Target")</f>
        <v>✅ Achieved</v>
      </c>
    </row>
    <row r="200" customFormat="false" ht="15" hidden="false" customHeight="false" outlineLevel="0" collapsed="false">
      <c r="A200" s="2" t="n">
        <v>199</v>
      </c>
      <c r="B200" s="2" t="s">
        <v>37</v>
      </c>
      <c r="C200" s="2" t="s">
        <v>38</v>
      </c>
      <c r="D200" s="2" t="s">
        <v>25</v>
      </c>
      <c r="E200" s="2" t="s">
        <v>26</v>
      </c>
      <c r="F200" s="2" t="s">
        <v>19</v>
      </c>
      <c r="G200" s="2" t="n">
        <v>11</v>
      </c>
      <c r="H200" s="3" t="n">
        <v>3500</v>
      </c>
      <c r="I200" s="3" t="n">
        <f aca="false">G200*H200</f>
        <v>38500</v>
      </c>
      <c r="J200" s="3" t="n">
        <v>1461094</v>
      </c>
      <c r="K200" s="4" t="n">
        <f aca="false">IF(J200&gt;0,I200/J200,0)</f>
        <v>0.0263501184728703</v>
      </c>
      <c r="L200" s="2" t="str">
        <f aca="false">IF(K200&gt;=1,"✅ Achieved","❌ Below Target")</f>
        <v>❌ Below Target</v>
      </c>
    </row>
    <row r="201" customFormat="false" ht="15" hidden="false" customHeight="false" outlineLevel="0" collapsed="false">
      <c r="A201" s="5" t="n">
        <v>200</v>
      </c>
      <c r="B201" s="5" t="s">
        <v>37</v>
      </c>
      <c r="C201" s="5" t="s">
        <v>38</v>
      </c>
      <c r="D201" s="5" t="s">
        <v>25</v>
      </c>
      <c r="E201" s="5" t="s">
        <v>26</v>
      </c>
      <c r="F201" s="5" t="s">
        <v>20</v>
      </c>
      <c r="G201" s="5" t="n">
        <v>89</v>
      </c>
      <c r="H201" s="6" t="n">
        <v>12000</v>
      </c>
      <c r="I201" s="6" t="n">
        <f aca="false">G201*H201</f>
        <v>1068000</v>
      </c>
      <c r="J201" s="6" t="n">
        <v>1680683</v>
      </c>
      <c r="K201" s="7" t="n">
        <f aca="false">IF(J201&gt;0,I201/J201,0)</f>
        <v>0.635455942613806</v>
      </c>
      <c r="L201" s="5" t="str">
        <f aca="false">IF(K201&gt;=1,"✅ Achieved","❌ Below Target")</f>
        <v>❌ Below Target</v>
      </c>
    </row>
    <row r="202" customFormat="false" ht="15" hidden="false" customHeight="false" outlineLevel="0" collapsed="false">
      <c r="A202" s="2" t="n">
        <v>201</v>
      </c>
      <c r="B202" s="2" t="s">
        <v>39</v>
      </c>
      <c r="C202" s="2" t="s">
        <v>38</v>
      </c>
      <c r="D202" s="2" t="s">
        <v>14</v>
      </c>
      <c r="E202" s="2" t="s">
        <v>15</v>
      </c>
      <c r="F202" s="2" t="s">
        <v>16</v>
      </c>
      <c r="G202" s="2" t="n">
        <v>22</v>
      </c>
      <c r="H202" s="3" t="n">
        <v>55000</v>
      </c>
      <c r="I202" s="3" t="n">
        <f aca="false">G202*H202</f>
        <v>1210000</v>
      </c>
      <c r="J202" s="3" t="n">
        <v>653638</v>
      </c>
      <c r="K202" s="4" t="n">
        <f aca="false">IF(J202&gt;0,I202/J202,0)</f>
        <v>1.85117756311598</v>
      </c>
      <c r="L202" s="2" t="str">
        <f aca="false">IF(K202&gt;=1,"✅ Achieved","❌ Below Target")</f>
        <v>✅ Achieved</v>
      </c>
    </row>
    <row r="203" customFormat="false" ht="15" hidden="false" customHeight="false" outlineLevel="0" collapsed="false">
      <c r="A203" s="5" t="n">
        <v>202</v>
      </c>
      <c r="B203" s="5" t="s">
        <v>39</v>
      </c>
      <c r="C203" s="5" t="s">
        <v>38</v>
      </c>
      <c r="D203" s="5" t="s">
        <v>14</v>
      </c>
      <c r="E203" s="5" t="s">
        <v>15</v>
      </c>
      <c r="F203" s="5" t="s">
        <v>17</v>
      </c>
      <c r="G203" s="5" t="n">
        <v>78</v>
      </c>
      <c r="H203" s="6" t="n">
        <v>18000</v>
      </c>
      <c r="I203" s="6" t="n">
        <f aca="false">G203*H203</f>
        <v>1404000</v>
      </c>
      <c r="J203" s="6" t="n">
        <v>947016</v>
      </c>
      <c r="K203" s="7" t="n">
        <f aca="false">IF(J203&gt;0,I203/J203,0)</f>
        <v>1.48255150916141</v>
      </c>
      <c r="L203" s="5" t="str">
        <f aca="false">IF(K203&gt;=1,"✅ Achieved","❌ Below Target")</f>
        <v>✅ Achieved</v>
      </c>
    </row>
    <row r="204" customFormat="false" ht="15" hidden="false" customHeight="false" outlineLevel="0" collapsed="false">
      <c r="A204" s="2" t="n">
        <v>203</v>
      </c>
      <c r="B204" s="2" t="s">
        <v>39</v>
      </c>
      <c r="C204" s="2" t="s">
        <v>38</v>
      </c>
      <c r="D204" s="2" t="s">
        <v>14</v>
      </c>
      <c r="E204" s="2" t="s">
        <v>15</v>
      </c>
      <c r="F204" s="2" t="s">
        <v>18</v>
      </c>
      <c r="G204" s="2" t="n">
        <v>74</v>
      </c>
      <c r="H204" s="3" t="n">
        <v>28000</v>
      </c>
      <c r="I204" s="3" t="n">
        <f aca="false">G204*H204</f>
        <v>2072000</v>
      </c>
      <c r="J204" s="3" t="n">
        <v>1056165</v>
      </c>
      <c r="K204" s="4" t="n">
        <f aca="false">IF(J204&gt;0,I204/J204,0)</f>
        <v>1.96181467857768</v>
      </c>
      <c r="L204" s="2" t="str">
        <f aca="false">IF(K204&gt;=1,"✅ Achieved","❌ Below Target")</f>
        <v>✅ Achieved</v>
      </c>
    </row>
    <row r="205" customFormat="false" ht="15" hidden="false" customHeight="false" outlineLevel="0" collapsed="false">
      <c r="A205" s="5" t="n">
        <v>204</v>
      </c>
      <c r="B205" s="5" t="s">
        <v>39</v>
      </c>
      <c r="C205" s="5" t="s">
        <v>38</v>
      </c>
      <c r="D205" s="5" t="s">
        <v>14</v>
      </c>
      <c r="E205" s="5" t="s">
        <v>15</v>
      </c>
      <c r="F205" s="5" t="s">
        <v>19</v>
      </c>
      <c r="G205" s="5" t="n">
        <v>26</v>
      </c>
      <c r="H205" s="6" t="n">
        <v>3500</v>
      </c>
      <c r="I205" s="6" t="n">
        <f aca="false">G205*H205</f>
        <v>91000</v>
      </c>
      <c r="J205" s="6" t="n">
        <v>1231924</v>
      </c>
      <c r="K205" s="7" t="n">
        <f aca="false">IF(J205&gt;0,I205/J205,0)</f>
        <v>0.0738681931677604</v>
      </c>
      <c r="L205" s="5" t="str">
        <f aca="false">IF(K205&gt;=1,"✅ Achieved","❌ Below Target")</f>
        <v>❌ Below Target</v>
      </c>
    </row>
    <row r="206" customFormat="false" ht="15" hidden="false" customHeight="false" outlineLevel="0" collapsed="false">
      <c r="A206" s="2" t="n">
        <v>205</v>
      </c>
      <c r="B206" s="2" t="s">
        <v>39</v>
      </c>
      <c r="C206" s="2" t="s">
        <v>38</v>
      </c>
      <c r="D206" s="2" t="s">
        <v>14</v>
      </c>
      <c r="E206" s="2" t="s">
        <v>15</v>
      </c>
      <c r="F206" s="2" t="s">
        <v>20</v>
      </c>
      <c r="G206" s="2" t="n">
        <v>18</v>
      </c>
      <c r="H206" s="3" t="n">
        <v>12000</v>
      </c>
      <c r="I206" s="3" t="n">
        <f aca="false">G206*H206</f>
        <v>216000</v>
      </c>
      <c r="J206" s="3" t="n">
        <v>1012301</v>
      </c>
      <c r="K206" s="4" t="n">
        <f aca="false">IF(J206&gt;0,I206/J206,0)</f>
        <v>0.213375270793963</v>
      </c>
      <c r="L206" s="2" t="str">
        <f aca="false">IF(K206&gt;=1,"✅ Achieved","❌ Below Target")</f>
        <v>❌ Below Target</v>
      </c>
    </row>
    <row r="207" customFormat="false" ht="15" hidden="false" customHeight="false" outlineLevel="0" collapsed="false">
      <c r="A207" s="5" t="n">
        <v>206</v>
      </c>
      <c r="B207" s="5" t="s">
        <v>39</v>
      </c>
      <c r="C207" s="5" t="s">
        <v>38</v>
      </c>
      <c r="D207" s="5" t="s">
        <v>21</v>
      </c>
      <c r="E207" s="5" t="s">
        <v>22</v>
      </c>
      <c r="F207" s="5" t="s">
        <v>16</v>
      </c>
      <c r="G207" s="5" t="n">
        <v>57</v>
      </c>
      <c r="H207" s="6" t="n">
        <v>55000</v>
      </c>
      <c r="I207" s="6" t="n">
        <f aca="false">G207*H207</f>
        <v>3135000</v>
      </c>
      <c r="J207" s="6" t="n">
        <v>1097661</v>
      </c>
      <c r="K207" s="7" t="n">
        <f aca="false">IF(J207&gt;0,I207/J207,0)</f>
        <v>2.85607304987605</v>
      </c>
      <c r="L207" s="5" t="str">
        <f aca="false">IF(K207&gt;=1,"✅ Achieved","❌ Below Target")</f>
        <v>✅ Achieved</v>
      </c>
    </row>
    <row r="208" customFormat="false" ht="15" hidden="false" customHeight="false" outlineLevel="0" collapsed="false">
      <c r="A208" s="2" t="n">
        <v>207</v>
      </c>
      <c r="B208" s="2" t="s">
        <v>39</v>
      </c>
      <c r="C208" s="2" t="s">
        <v>38</v>
      </c>
      <c r="D208" s="2" t="s">
        <v>21</v>
      </c>
      <c r="E208" s="2" t="s">
        <v>22</v>
      </c>
      <c r="F208" s="2" t="s">
        <v>17</v>
      </c>
      <c r="G208" s="2" t="n">
        <v>30</v>
      </c>
      <c r="H208" s="3" t="n">
        <v>18000</v>
      </c>
      <c r="I208" s="3" t="n">
        <f aca="false">G208*H208</f>
        <v>540000</v>
      </c>
      <c r="J208" s="3" t="n">
        <v>1418939</v>
      </c>
      <c r="K208" s="4" t="n">
        <f aca="false">IF(J208&gt;0,I208/J208,0)</f>
        <v>0.380566042655815</v>
      </c>
      <c r="L208" s="2" t="str">
        <f aca="false">IF(K208&gt;=1,"✅ Achieved","❌ Below Target")</f>
        <v>❌ Below Target</v>
      </c>
    </row>
    <row r="209" customFormat="false" ht="15" hidden="false" customHeight="false" outlineLevel="0" collapsed="false">
      <c r="A209" s="5" t="n">
        <v>208</v>
      </c>
      <c r="B209" s="5" t="s">
        <v>39</v>
      </c>
      <c r="C209" s="5" t="s">
        <v>38</v>
      </c>
      <c r="D209" s="5" t="s">
        <v>21</v>
      </c>
      <c r="E209" s="5" t="s">
        <v>22</v>
      </c>
      <c r="F209" s="5" t="s">
        <v>18</v>
      </c>
      <c r="G209" s="5" t="n">
        <v>116</v>
      </c>
      <c r="H209" s="6" t="n">
        <v>28000</v>
      </c>
      <c r="I209" s="6" t="n">
        <f aca="false">G209*H209</f>
        <v>3248000</v>
      </c>
      <c r="J209" s="6" t="n">
        <v>1639210</v>
      </c>
      <c r="K209" s="7" t="n">
        <f aca="false">IF(J209&gt;0,I209/J209,0)</f>
        <v>1.98144228012274</v>
      </c>
      <c r="L209" s="5" t="str">
        <f aca="false">IF(K209&gt;=1,"✅ Achieved","❌ Below Target")</f>
        <v>✅ Achieved</v>
      </c>
    </row>
    <row r="210" customFormat="false" ht="15" hidden="false" customHeight="false" outlineLevel="0" collapsed="false">
      <c r="A210" s="2" t="n">
        <v>209</v>
      </c>
      <c r="B210" s="2" t="s">
        <v>39</v>
      </c>
      <c r="C210" s="2" t="s">
        <v>38</v>
      </c>
      <c r="D210" s="2" t="s">
        <v>21</v>
      </c>
      <c r="E210" s="2" t="s">
        <v>22</v>
      </c>
      <c r="F210" s="2" t="s">
        <v>19</v>
      </c>
      <c r="G210" s="2" t="n">
        <v>100</v>
      </c>
      <c r="H210" s="3" t="n">
        <v>3500</v>
      </c>
      <c r="I210" s="3" t="n">
        <f aca="false">G210*H210</f>
        <v>350000</v>
      </c>
      <c r="J210" s="3" t="n">
        <v>1134424</v>
      </c>
      <c r="K210" s="4" t="n">
        <f aca="false">IF(J210&gt;0,I210/J210,0)</f>
        <v>0.308526617913584</v>
      </c>
      <c r="L210" s="2" t="str">
        <f aca="false">IF(K210&gt;=1,"✅ Achieved","❌ Below Target")</f>
        <v>❌ Below Target</v>
      </c>
    </row>
    <row r="211" customFormat="false" ht="15" hidden="false" customHeight="false" outlineLevel="0" collapsed="false">
      <c r="A211" s="5" t="n">
        <v>210</v>
      </c>
      <c r="B211" s="5" t="s">
        <v>39</v>
      </c>
      <c r="C211" s="5" t="s">
        <v>38</v>
      </c>
      <c r="D211" s="5" t="s">
        <v>21</v>
      </c>
      <c r="E211" s="5" t="s">
        <v>22</v>
      </c>
      <c r="F211" s="5" t="s">
        <v>20</v>
      </c>
      <c r="G211" s="5" t="n">
        <v>88</v>
      </c>
      <c r="H211" s="6" t="n">
        <v>12000</v>
      </c>
      <c r="I211" s="6" t="n">
        <f aca="false">G211*H211</f>
        <v>1056000</v>
      </c>
      <c r="J211" s="6" t="n">
        <v>1871487</v>
      </c>
      <c r="K211" s="7" t="n">
        <f aca="false">IF(J211&gt;0,I211/J211,0)</f>
        <v>0.564257192275447</v>
      </c>
      <c r="L211" s="5" t="str">
        <f aca="false">IF(K211&gt;=1,"✅ Achieved","❌ Below Target")</f>
        <v>❌ Below Target</v>
      </c>
    </row>
    <row r="212" customFormat="false" ht="15" hidden="false" customHeight="false" outlineLevel="0" collapsed="false">
      <c r="A212" s="2" t="n">
        <v>211</v>
      </c>
      <c r="B212" s="2" t="s">
        <v>39</v>
      </c>
      <c r="C212" s="2" t="s">
        <v>38</v>
      </c>
      <c r="D212" s="2" t="s">
        <v>23</v>
      </c>
      <c r="E212" s="2" t="s">
        <v>24</v>
      </c>
      <c r="F212" s="2" t="s">
        <v>16</v>
      </c>
      <c r="G212" s="2" t="n">
        <v>77</v>
      </c>
      <c r="H212" s="3" t="n">
        <v>55000</v>
      </c>
      <c r="I212" s="3" t="n">
        <f aca="false">G212*H212</f>
        <v>4235000</v>
      </c>
      <c r="J212" s="3" t="n">
        <v>516406</v>
      </c>
      <c r="K212" s="4" t="n">
        <f aca="false">IF(J212&gt;0,I212/J212,0)</f>
        <v>8.20091168576663</v>
      </c>
      <c r="L212" s="2" t="str">
        <f aca="false">IF(K212&gt;=1,"✅ Achieved","❌ Below Target")</f>
        <v>✅ Achieved</v>
      </c>
    </row>
    <row r="213" customFormat="false" ht="15" hidden="false" customHeight="false" outlineLevel="0" collapsed="false">
      <c r="A213" s="5" t="n">
        <v>212</v>
      </c>
      <c r="B213" s="5" t="s">
        <v>39</v>
      </c>
      <c r="C213" s="5" t="s">
        <v>38</v>
      </c>
      <c r="D213" s="5" t="s">
        <v>23</v>
      </c>
      <c r="E213" s="5" t="s">
        <v>24</v>
      </c>
      <c r="F213" s="5" t="s">
        <v>17</v>
      </c>
      <c r="G213" s="5" t="n">
        <v>95</v>
      </c>
      <c r="H213" s="6" t="n">
        <v>18000</v>
      </c>
      <c r="I213" s="6" t="n">
        <f aca="false">G213*H213</f>
        <v>1710000</v>
      </c>
      <c r="J213" s="6" t="n">
        <v>1663085</v>
      </c>
      <c r="K213" s="7" t="n">
        <f aca="false">IF(J213&gt;0,I213/J213,0)</f>
        <v>1.02820962247871</v>
      </c>
      <c r="L213" s="5" t="str">
        <f aca="false">IF(K213&gt;=1,"✅ Achieved","❌ Below Target")</f>
        <v>✅ Achieved</v>
      </c>
    </row>
    <row r="214" customFormat="false" ht="15" hidden="false" customHeight="false" outlineLevel="0" collapsed="false">
      <c r="A214" s="2" t="n">
        <v>213</v>
      </c>
      <c r="B214" s="2" t="s">
        <v>39</v>
      </c>
      <c r="C214" s="2" t="s">
        <v>38</v>
      </c>
      <c r="D214" s="2" t="s">
        <v>23</v>
      </c>
      <c r="E214" s="2" t="s">
        <v>24</v>
      </c>
      <c r="F214" s="2" t="s">
        <v>18</v>
      </c>
      <c r="G214" s="2" t="n">
        <v>48</v>
      </c>
      <c r="H214" s="3" t="n">
        <v>28000</v>
      </c>
      <c r="I214" s="3" t="n">
        <f aca="false">G214*H214</f>
        <v>1344000</v>
      </c>
      <c r="J214" s="3" t="n">
        <v>1891226</v>
      </c>
      <c r="K214" s="4" t="n">
        <f aca="false">IF(J214&gt;0,I214/J214,0)</f>
        <v>0.710650128540957</v>
      </c>
      <c r="L214" s="2" t="str">
        <f aca="false">IF(K214&gt;=1,"✅ Achieved","❌ Below Target")</f>
        <v>❌ Below Target</v>
      </c>
    </row>
    <row r="215" customFormat="false" ht="15" hidden="false" customHeight="false" outlineLevel="0" collapsed="false">
      <c r="A215" s="5" t="n">
        <v>214</v>
      </c>
      <c r="B215" s="5" t="s">
        <v>39</v>
      </c>
      <c r="C215" s="5" t="s">
        <v>38</v>
      </c>
      <c r="D215" s="5" t="s">
        <v>23</v>
      </c>
      <c r="E215" s="5" t="s">
        <v>24</v>
      </c>
      <c r="F215" s="5" t="s">
        <v>19</v>
      </c>
      <c r="G215" s="5" t="n">
        <v>23</v>
      </c>
      <c r="H215" s="6" t="n">
        <v>3500</v>
      </c>
      <c r="I215" s="6" t="n">
        <f aca="false">G215*H215</f>
        <v>80500</v>
      </c>
      <c r="J215" s="6" t="n">
        <v>781628</v>
      </c>
      <c r="K215" s="7" t="n">
        <f aca="false">IF(J215&gt;0,I215/J215,0)</f>
        <v>0.102990169236517</v>
      </c>
      <c r="L215" s="5" t="str">
        <f aca="false">IF(K215&gt;=1,"✅ Achieved","❌ Below Target")</f>
        <v>❌ Below Target</v>
      </c>
    </row>
    <row r="216" customFormat="false" ht="15" hidden="false" customHeight="false" outlineLevel="0" collapsed="false">
      <c r="A216" s="2" t="n">
        <v>215</v>
      </c>
      <c r="B216" s="2" t="s">
        <v>39</v>
      </c>
      <c r="C216" s="2" t="s">
        <v>38</v>
      </c>
      <c r="D216" s="2" t="s">
        <v>23</v>
      </c>
      <c r="E216" s="2" t="s">
        <v>24</v>
      </c>
      <c r="F216" s="2" t="s">
        <v>20</v>
      </c>
      <c r="G216" s="2" t="n">
        <v>43</v>
      </c>
      <c r="H216" s="3" t="n">
        <v>12000</v>
      </c>
      <c r="I216" s="3" t="n">
        <f aca="false">G216*H216</f>
        <v>516000</v>
      </c>
      <c r="J216" s="3" t="n">
        <v>742071</v>
      </c>
      <c r="K216" s="4" t="n">
        <f aca="false">IF(J216&gt;0,I216/J216,0)</f>
        <v>0.695351253451489</v>
      </c>
      <c r="L216" s="2" t="str">
        <f aca="false">IF(K216&gt;=1,"✅ Achieved","❌ Below Target")</f>
        <v>❌ Below Target</v>
      </c>
    </row>
    <row r="217" customFormat="false" ht="15" hidden="false" customHeight="false" outlineLevel="0" collapsed="false">
      <c r="A217" s="5" t="n">
        <v>216</v>
      </c>
      <c r="B217" s="5" t="s">
        <v>39</v>
      </c>
      <c r="C217" s="5" t="s">
        <v>38</v>
      </c>
      <c r="D217" s="5" t="s">
        <v>25</v>
      </c>
      <c r="E217" s="5" t="s">
        <v>26</v>
      </c>
      <c r="F217" s="5" t="s">
        <v>16</v>
      </c>
      <c r="G217" s="5" t="n">
        <v>23</v>
      </c>
      <c r="H217" s="6" t="n">
        <v>55000</v>
      </c>
      <c r="I217" s="6" t="n">
        <f aca="false">G217*H217</f>
        <v>1265000</v>
      </c>
      <c r="J217" s="6" t="n">
        <v>1660194</v>
      </c>
      <c r="K217" s="7" t="n">
        <f aca="false">IF(J217&gt;0,I217/J217,0)</f>
        <v>0.761959144533711</v>
      </c>
      <c r="L217" s="5" t="str">
        <f aca="false">IF(K217&gt;=1,"✅ Achieved","❌ Below Target")</f>
        <v>❌ Below Target</v>
      </c>
    </row>
    <row r="218" customFormat="false" ht="15" hidden="false" customHeight="false" outlineLevel="0" collapsed="false">
      <c r="A218" s="2" t="n">
        <v>217</v>
      </c>
      <c r="B218" s="2" t="s">
        <v>39</v>
      </c>
      <c r="C218" s="2" t="s">
        <v>38</v>
      </c>
      <c r="D218" s="2" t="s">
        <v>25</v>
      </c>
      <c r="E218" s="2" t="s">
        <v>26</v>
      </c>
      <c r="F218" s="2" t="s">
        <v>17</v>
      </c>
      <c r="G218" s="2" t="n">
        <v>29</v>
      </c>
      <c r="H218" s="3" t="n">
        <v>18000</v>
      </c>
      <c r="I218" s="3" t="n">
        <f aca="false">G218*H218</f>
        <v>522000</v>
      </c>
      <c r="J218" s="3" t="n">
        <v>1071155</v>
      </c>
      <c r="K218" s="4" t="n">
        <f aca="false">IF(J218&gt;0,I218/J218,0)</f>
        <v>0.48732443017117</v>
      </c>
      <c r="L218" s="2" t="str">
        <f aca="false">IF(K218&gt;=1,"✅ Achieved","❌ Below Target")</f>
        <v>❌ Below Target</v>
      </c>
    </row>
    <row r="219" customFormat="false" ht="15" hidden="false" customHeight="false" outlineLevel="0" collapsed="false">
      <c r="A219" s="5" t="n">
        <v>218</v>
      </c>
      <c r="B219" s="5" t="s">
        <v>39</v>
      </c>
      <c r="C219" s="5" t="s">
        <v>38</v>
      </c>
      <c r="D219" s="5" t="s">
        <v>25</v>
      </c>
      <c r="E219" s="5" t="s">
        <v>26</v>
      </c>
      <c r="F219" s="5" t="s">
        <v>18</v>
      </c>
      <c r="G219" s="5" t="n">
        <v>46</v>
      </c>
      <c r="H219" s="6" t="n">
        <v>28000</v>
      </c>
      <c r="I219" s="6" t="n">
        <f aca="false">G219*H219</f>
        <v>1288000</v>
      </c>
      <c r="J219" s="6" t="n">
        <v>1768420</v>
      </c>
      <c r="K219" s="7" t="n">
        <f aca="false">IF(J219&gt;0,I219/J219,0)</f>
        <v>0.728333766865338</v>
      </c>
      <c r="L219" s="5" t="str">
        <f aca="false">IF(K219&gt;=1,"✅ Achieved","❌ Below Target")</f>
        <v>❌ Below Target</v>
      </c>
    </row>
    <row r="220" customFormat="false" ht="15" hidden="false" customHeight="false" outlineLevel="0" collapsed="false">
      <c r="A220" s="2" t="n">
        <v>219</v>
      </c>
      <c r="B220" s="2" t="s">
        <v>39</v>
      </c>
      <c r="C220" s="2" t="s">
        <v>38</v>
      </c>
      <c r="D220" s="2" t="s">
        <v>25</v>
      </c>
      <c r="E220" s="2" t="s">
        <v>26</v>
      </c>
      <c r="F220" s="2" t="s">
        <v>19</v>
      </c>
      <c r="G220" s="2" t="n">
        <v>36</v>
      </c>
      <c r="H220" s="3" t="n">
        <v>3500</v>
      </c>
      <c r="I220" s="3" t="n">
        <f aca="false">G220*H220</f>
        <v>126000</v>
      </c>
      <c r="J220" s="3" t="n">
        <v>1219072</v>
      </c>
      <c r="K220" s="4" t="n">
        <f aca="false">IF(J220&gt;0,I220/J220,0)</f>
        <v>0.103357307853843</v>
      </c>
      <c r="L220" s="2" t="str">
        <f aca="false">IF(K220&gt;=1,"✅ Achieved","❌ Below Target")</f>
        <v>❌ Below Target</v>
      </c>
    </row>
    <row r="221" customFormat="false" ht="15" hidden="false" customHeight="false" outlineLevel="0" collapsed="false">
      <c r="A221" s="5" t="n">
        <v>220</v>
      </c>
      <c r="B221" s="5" t="s">
        <v>39</v>
      </c>
      <c r="C221" s="5" t="s">
        <v>38</v>
      </c>
      <c r="D221" s="5" t="s">
        <v>25</v>
      </c>
      <c r="E221" s="5" t="s">
        <v>26</v>
      </c>
      <c r="F221" s="5" t="s">
        <v>20</v>
      </c>
      <c r="G221" s="5" t="n">
        <v>36</v>
      </c>
      <c r="H221" s="6" t="n">
        <v>12000</v>
      </c>
      <c r="I221" s="6" t="n">
        <f aca="false">G221*H221</f>
        <v>432000</v>
      </c>
      <c r="J221" s="6" t="n">
        <v>1941785</v>
      </c>
      <c r="K221" s="7" t="n">
        <f aca="false">IF(J221&gt;0,I221/J221,0)</f>
        <v>0.222475711780655</v>
      </c>
      <c r="L221" s="5" t="str">
        <f aca="false">IF(K221&gt;=1,"✅ Achieved","❌ Below Target")</f>
        <v>❌ Below Target</v>
      </c>
    </row>
    <row r="222" customFormat="false" ht="15" hidden="false" customHeight="false" outlineLevel="0" collapsed="false">
      <c r="A222" s="2" t="n">
        <v>221</v>
      </c>
      <c r="B222" s="2" t="s">
        <v>40</v>
      </c>
      <c r="C222" s="2" t="s">
        <v>38</v>
      </c>
      <c r="D222" s="2" t="s">
        <v>14</v>
      </c>
      <c r="E222" s="2" t="s">
        <v>15</v>
      </c>
      <c r="F222" s="2" t="s">
        <v>16</v>
      </c>
      <c r="G222" s="2" t="n">
        <v>91</v>
      </c>
      <c r="H222" s="3" t="n">
        <v>55000</v>
      </c>
      <c r="I222" s="3" t="n">
        <f aca="false">G222*H222</f>
        <v>5005000</v>
      </c>
      <c r="J222" s="3" t="n">
        <v>1053614</v>
      </c>
      <c r="K222" s="4" t="n">
        <f aca="false">IF(J222&gt;0,I222/J222,0)</f>
        <v>4.75031652958294</v>
      </c>
      <c r="L222" s="2" t="str">
        <f aca="false">IF(K222&gt;=1,"✅ Achieved","❌ Below Target")</f>
        <v>✅ Achieved</v>
      </c>
    </row>
    <row r="223" customFormat="false" ht="15" hidden="false" customHeight="false" outlineLevel="0" collapsed="false">
      <c r="A223" s="5" t="n">
        <v>222</v>
      </c>
      <c r="B223" s="5" t="s">
        <v>40</v>
      </c>
      <c r="C223" s="5" t="s">
        <v>38</v>
      </c>
      <c r="D223" s="5" t="s">
        <v>14</v>
      </c>
      <c r="E223" s="5" t="s">
        <v>15</v>
      </c>
      <c r="F223" s="5" t="s">
        <v>17</v>
      </c>
      <c r="G223" s="5" t="n">
        <v>74</v>
      </c>
      <c r="H223" s="6" t="n">
        <v>18000</v>
      </c>
      <c r="I223" s="6" t="n">
        <f aca="false">G223*H223</f>
        <v>1332000</v>
      </c>
      <c r="J223" s="6" t="n">
        <v>1524525</v>
      </c>
      <c r="K223" s="7" t="n">
        <f aca="false">IF(J223&gt;0,I223/J223,0)</f>
        <v>0.873714763614896</v>
      </c>
      <c r="L223" s="5" t="str">
        <f aca="false">IF(K223&gt;=1,"✅ Achieved","❌ Below Target")</f>
        <v>❌ Below Target</v>
      </c>
    </row>
    <row r="224" customFormat="false" ht="15" hidden="false" customHeight="false" outlineLevel="0" collapsed="false">
      <c r="A224" s="2" t="n">
        <v>223</v>
      </c>
      <c r="B224" s="2" t="s">
        <v>40</v>
      </c>
      <c r="C224" s="2" t="s">
        <v>38</v>
      </c>
      <c r="D224" s="2" t="s">
        <v>14</v>
      </c>
      <c r="E224" s="2" t="s">
        <v>15</v>
      </c>
      <c r="F224" s="2" t="s">
        <v>18</v>
      </c>
      <c r="G224" s="2" t="n">
        <v>42</v>
      </c>
      <c r="H224" s="3" t="n">
        <v>28000</v>
      </c>
      <c r="I224" s="3" t="n">
        <f aca="false">G224*H224</f>
        <v>1176000</v>
      </c>
      <c r="J224" s="3" t="n">
        <v>606533</v>
      </c>
      <c r="K224" s="4" t="n">
        <f aca="false">IF(J224&gt;0,I224/J224,0)</f>
        <v>1.93888873317693</v>
      </c>
      <c r="L224" s="2" t="str">
        <f aca="false">IF(K224&gt;=1,"✅ Achieved","❌ Below Target")</f>
        <v>✅ Achieved</v>
      </c>
    </row>
    <row r="225" customFormat="false" ht="15" hidden="false" customHeight="false" outlineLevel="0" collapsed="false">
      <c r="A225" s="5" t="n">
        <v>224</v>
      </c>
      <c r="B225" s="5" t="s">
        <v>40</v>
      </c>
      <c r="C225" s="5" t="s">
        <v>38</v>
      </c>
      <c r="D225" s="5" t="s">
        <v>14</v>
      </c>
      <c r="E225" s="5" t="s">
        <v>15</v>
      </c>
      <c r="F225" s="5" t="s">
        <v>19</v>
      </c>
      <c r="G225" s="5" t="n">
        <v>21</v>
      </c>
      <c r="H225" s="6" t="n">
        <v>3500</v>
      </c>
      <c r="I225" s="6" t="n">
        <f aca="false">G225*H225</f>
        <v>73500</v>
      </c>
      <c r="J225" s="6" t="n">
        <v>1830190</v>
      </c>
      <c r="K225" s="7" t="n">
        <f aca="false">IF(J225&gt;0,I225/J225,0)</f>
        <v>0.0401597648331594</v>
      </c>
      <c r="L225" s="5" t="str">
        <f aca="false">IF(K225&gt;=1,"✅ Achieved","❌ Below Target")</f>
        <v>❌ Below Target</v>
      </c>
    </row>
    <row r="226" customFormat="false" ht="15" hidden="false" customHeight="false" outlineLevel="0" collapsed="false">
      <c r="A226" s="2" t="n">
        <v>225</v>
      </c>
      <c r="B226" s="2" t="s">
        <v>40</v>
      </c>
      <c r="C226" s="2" t="s">
        <v>38</v>
      </c>
      <c r="D226" s="2" t="s">
        <v>14</v>
      </c>
      <c r="E226" s="2" t="s">
        <v>15</v>
      </c>
      <c r="F226" s="2" t="s">
        <v>20</v>
      </c>
      <c r="G226" s="2" t="n">
        <v>64</v>
      </c>
      <c r="H226" s="3" t="n">
        <v>12000</v>
      </c>
      <c r="I226" s="3" t="n">
        <f aca="false">G226*H226</f>
        <v>768000</v>
      </c>
      <c r="J226" s="3" t="n">
        <v>1080240</v>
      </c>
      <c r="K226" s="4" t="n">
        <f aca="false">IF(J226&gt;0,I226/J226,0)</f>
        <v>0.710953121528549</v>
      </c>
      <c r="L226" s="2" t="str">
        <f aca="false">IF(K226&gt;=1,"✅ Achieved","❌ Below Target")</f>
        <v>❌ Below Target</v>
      </c>
    </row>
    <row r="227" customFormat="false" ht="15" hidden="false" customHeight="false" outlineLevel="0" collapsed="false">
      <c r="A227" s="5" t="n">
        <v>226</v>
      </c>
      <c r="B227" s="5" t="s">
        <v>40</v>
      </c>
      <c r="C227" s="5" t="s">
        <v>38</v>
      </c>
      <c r="D227" s="5" t="s">
        <v>21</v>
      </c>
      <c r="E227" s="5" t="s">
        <v>22</v>
      </c>
      <c r="F227" s="5" t="s">
        <v>16</v>
      </c>
      <c r="G227" s="5" t="n">
        <v>15</v>
      </c>
      <c r="H227" s="6" t="n">
        <v>55000</v>
      </c>
      <c r="I227" s="6" t="n">
        <f aca="false">G227*H227</f>
        <v>825000</v>
      </c>
      <c r="J227" s="6" t="n">
        <v>507435</v>
      </c>
      <c r="K227" s="7" t="n">
        <f aca="false">IF(J227&gt;0,I227/J227,0)</f>
        <v>1.6258239971622</v>
      </c>
      <c r="L227" s="5" t="str">
        <f aca="false">IF(K227&gt;=1,"✅ Achieved","❌ Below Target")</f>
        <v>✅ Achieved</v>
      </c>
    </row>
    <row r="228" customFormat="false" ht="15" hidden="false" customHeight="false" outlineLevel="0" collapsed="false">
      <c r="A228" s="2" t="n">
        <v>227</v>
      </c>
      <c r="B228" s="2" t="s">
        <v>40</v>
      </c>
      <c r="C228" s="2" t="s">
        <v>38</v>
      </c>
      <c r="D228" s="2" t="s">
        <v>21</v>
      </c>
      <c r="E228" s="2" t="s">
        <v>22</v>
      </c>
      <c r="F228" s="2" t="s">
        <v>17</v>
      </c>
      <c r="G228" s="2" t="n">
        <v>52</v>
      </c>
      <c r="H228" s="3" t="n">
        <v>18000</v>
      </c>
      <c r="I228" s="3" t="n">
        <f aca="false">G228*H228</f>
        <v>936000</v>
      </c>
      <c r="J228" s="3" t="n">
        <v>774348</v>
      </c>
      <c r="K228" s="4" t="n">
        <f aca="false">IF(J228&gt;0,I228/J228,0)</f>
        <v>1.2087588526089</v>
      </c>
      <c r="L228" s="2" t="str">
        <f aca="false">IF(K228&gt;=1,"✅ Achieved","❌ Below Target")</f>
        <v>✅ Achieved</v>
      </c>
    </row>
    <row r="229" customFormat="false" ht="15" hidden="false" customHeight="false" outlineLevel="0" collapsed="false">
      <c r="A229" s="5" t="n">
        <v>228</v>
      </c>
      <c r="B229" s="5" t="s">
        <v>40</v>
      </c>
      <c r="C229" s="5" t="s">
        <v>38</v>
      </c>
      <c r="D229" s="5" t="s">
        <v>21</v>
      </c>
      <c r="E229" s="5" t="s">
        <v>22</v>
      </c>
      <c r="F229" s="5" t="s">
        <v>18</v>
      </c>
      <c r="G229" s="5" t="n">
        <v>91</v>
      </c>
      <c r="H229" s="6" t="n">
        <v>28000</v>
      </c>
      <c r="I229" s="6" t="n">
        <f aca="false">G229*H229</f>
        <v>2548000</v>
      </c>
      <c r="J229" s="6" t="n">
        <v>1049360</v>
      </c>
      <c r="K229" s="7" t="n">
        <f aca="false">IF(J229&gt;0,I229/J229,0)</f>
        <v>2.42814667988107</v>
      </c>
      <c r="L229" s="5" t="str">
        <f aca="false">IF(K229&gt;=1,"✅ Achieved","❌ Below Target")</f>
        <v>✅ Achieved</v>
      </c>
    </row>
    <row r="230" customFormat="false" ht="15" hidden="false" customHeight="false" outlineLevel="0" collapsed="false">
      <c r="A230" s="2" t="n">
        <v>229</v>
      </c>
      <c r="B230" s="2" t="s">
        <v>40</v>
      </c>
      <c r="C230" s="2" t="s">
        <v>38</v>
      </c>
      <c r="D230" s="2" t="s">
        <v>21</v>
      </c>
      <c r="E230" s="2" t="s">
        <v>22</v>
      </c>
      <c r="F230" s="2" t="s">
        <v>19</v>
      </c>
      <c r="G230" s="2" t="n">
        <v>30</v>
      </c>
      <c r="H230" s="3" t="n">
        <v>3500</v>
      </c>
      <c r="I230" s="3" t="n">
        <f aca="false">G230*H230</f>
        <v>105000</v>
      </c>
      <c r="J230" s="3" t="n">
        <v>1426596</v>
      </c>
      <c r="K230" s="4" t="n">
        <f aca="false">IF(J230&gt;0,I230/J230,0)</f>
        <v>0.0736017765365948</v>
      </c>
      <c r="L230" s="2" t="str">
        <f aca="false">IF(K230&gt;=1,"✅ Achieved","❌ Below Target")</f>
        <v>❌ Below Target</v>
      </c>
    </row>
    <row r="231" customFormat="false" ht="15" hidden="false" customHeight="false" outlineLevel="0" collapsed="false">
      <c r="A231" s="5" t="n">
        <v>230</v>
      </c>
      <c r="B231" s="5" t="s">
        <v>40</v>
      </c>
      <c r="C231" s="5" t="s">
        <v>38</v>
      </c>
      <c r="D231" s="5" t="s">
        <v>21</v>
      </c>
      <c r="E231" s="5" t="s">
        <v>22</v>
      </c>
      <c r="F231" s="5" t="s">
        <v>20</v>
      </c>
      <c r="G231" s="5" t="n">
        <v>80</v>
      </c>
      <c r="H231" s="6" t="n">
        <v>12000</v>
      </c>
      <c r="I231" s="6" t="n">
        <f aca="false">G231*H231</f>
        <v>960000</v>
      </c>
      <c r="J231" s="6" t="n">
        <v>1979891</v>
      </c>
      <c r="K231" s="7" t="n">
        <f aca="false">IF(J231&gt;0,I231/J231,0)</f>
        <v>0.484875177471891</v>
      </c>
      <c r="L231" s="5" t="str">
        <f aca="false">IF(K231&gt;=1,"✅ Achieved","❌ Below Target")</f>
        <v>❌ Below Target</v>
      </c>
    </row>
    <row r="232" customFormat="false" ht="15" hidden="false" customHeight="false" outlineLevel="0" collapsed="false">
      <c r="A232" s="2" t="n">
        <v>231</v>
      </c>
      <c r="B232" s="2" t="s">
        <v>40</v>
      </c>
      <c r="C232" s="2" t="s">
        <v>38</v>
      </c>
      <c r="D232" s="2" t="s">
        <v>23</v>
      </c>
      <c r="E232" s="2" t="s">
        <v>24</v>
      </c>
      <c r="F232" s="2" t="s">
        <v>16</v>
      </c>
      <c r="G232" s="2" t="n">
        <v>64</v>
      </c>
      <c r="H232" s="3" t="n">
        <v>55000</v>
      </c>
      <c r="I232" s="3" t="n">
        <f aca="false">G232*H232</f>
        <v>3520000</v>
      </c>
      <c r="J232" s="3" t="n">
        <v>1676306</v>
      </c>
      <c r="K232" s="4" t="n">
        <f aca="false">IF(J232&gt;0,I232/J232,0)</f>
        <v>2.09985527701983</v>
      </c>
      <c r="L232" s="2" t="str">
        <f aca="false">IF(K232&gt;=1,"✅ Achieved","❌ Below Target")</f>
        <v>✅ Achieved</v>
      </c>
    </row>
    <row r="233" customFormat="false" ht="15" hidden="false" customHeight="false" outlineLevel="0" collapsed="false">
      <c r="A233" s="5" t="n">
        <v>232</v>
      </c>
      <c r="B233" s="5" t="s">
        <v>40</v>
      </c>
      <c r="C233" s="5" t="s">
        <v>38</v>
      </c>
      <c r="D233" s="5" t="s">
        <v>23</v>
      </c>
      <c r="E233" s="5" t="s">
        <v>24</v>
      </c>
      <c r="F233" s="5" t="s">
        <v>17</v>
      </c>
      <c r="G233" s="5" t="n">
        <v>11</v>
      </c>
      <c r="H233" s="6" t="n">
        <v>18000</v>
      </c>
      <c r="I233" s="6" t="n">
        <f aca="false">G233*H233</f>
        <v>198000</v>
      </c>
      <c r="J233" s="6" t="n">
        <v>734616</v>
      </c>
      <c r="K233" s="7" t="n">
        <f aca="false">IF(J233&gt;0,I233/J233,0)</f>
        <v>0.269528570028423</v>
      </c>
      <c r="L233" s="5" t="str">
        <f aca="false">IF(K233&gt;=1,"✅ Achieved","❌ Below Target")</f>
        <v>❌ Below Target</v>
      </c>
    </row>
    <row r="234" customFormat="false" ht="15" hidden="false" customHeight="false" outlineLevel="0" collapsed="false">
      <c r="A234" s="2" t="n">
        <v>233</v>
      </c>
      <c r="B234" s="2" t="s">
        <v>40</v>
      </c>
      <c r="C234" s="2" t="s">
        <v>38</v>
      </c>
      <c r="D234" s="2" t="s">
        <v>23</v>
      </c>
      <c r="E234" s="2" t="s">
        <v>24</v>
      </c>
      <c r="F234" s="2" t="s">
        <v>18</v>
      </c>
      <c r="G234" s="2" t="n">
        <v>19</v>
      </c>
      <c r="H234" s="3" t="n">
        <v>28000</v>
      </c>
      <c r="I234" s="3" t="n">
        <f aca="false">G234*H234</f>
        <v>532000</v>
      </c>
      <c r="J234" s="3" t="n">
        <v>1949173</v>
      </c>
      <c r="K234" s="4" t="n">
        <f aca="false">IF(J234&gt;0,I234/J234,0)</f>
        <v>0.272936265790671</v>
      </c>
      <c r="L234" s="2" t="str">
        <f aca="false">IF(K234&gt;=1,"✅ Achieved","❌ Below Target")</f>
        <v>❌ Below Target</v>
      </c>
    </row>
    <row r="235" customFormat="false" ht="15" hidden="false" customHeight="false" outlineLevel="0" collapsed="false">
      <c r="A235" s="5" t="n">
        <v>234</v>
      </c>
      <c r="B235" s="5" t="s">
        <v>40</v>
      </c>
      <c r="C235" s="5" t="s">
        <v>38</v>
      </c>
      <c r="D235" s="5" t="s">
        <v>23</v>
      </c>
      <c r="E235" s="5" t="s">
        <v>24</v>
      </c>
      <c r="F235" s="5" t="s">
        <v>19</v>
      </c>
      <c r="G235" s="5" t="n">
        <v>29</v>
      </c>
      <c r="H235" s="6" t="n">
        <v>3500</v>
      </c>
      <c r="I235" s="6" t="n">
        <f aca="false">G235*H235</f>
        <v>101500</v>
      </c>
      <c r="J235" s="6" t="n">
        <v>1644185</v>
      </c>
      <c r="K235" s="7" t="n">
        <f aca="false">IF(J235&gt;0,I235/J235,0)</f>
        <v>0.061732712559718</v>
      </c>
      <c r="L235" s="5" t="str">
        <f aca="false">IF(K235&gt;=1,"✅ Achieved","❌ Below Target")</f>
        <v>❌ Below Target</v>
      </c>
    </row>
    <row r="236" customFormat="false" ht="15" hidden="false" customHeight="false" outlineLevel="0" collapsed="false">
      <c r="A236" s="2" t="n">
        <v>235</v>
      </c>
      <c r="B236" s="2" t="s">
        <v>40</v>
      </c>
      <c r="C236" s="2" t="s">
        <v>38</v>
      </c>
      <c r="D236" s="2" t="s">
        <v>23</v>
      </c>
      <c r="E236" s="2" t="s">
        <v>24</v>
      </c>
      <c r="F236" s="2" t="s">
        <v>20</v>
      </c>
      <c r="G236" s="2" t="n">
        <v>14</v>
      </c>
      <c r="H236" s="3" t="n">
        <v>12000</v>
      </c>
      <c r="I236" s="3" t="n">
        <f aca="false">G236*H236</f>
        <v>168000</v>
      </c>
      <c r="J236" s="3" t="n">
        <v>1274302</v>
      </c>
      <c r="K236" s="4" t="n">
        <f aca="false">IF(J236&gt;0,I236/J236,0)</f>
        <v>0.131836880111622</v>
      </c>
      <c r="L236" s="2" t="str">
        <f aca="false">IF(K236&gt;=1,"✅ Achieved","❌ Below Target")</f>
        <v>❌ Below Target</v>
      </c>
    </row>
    <row r="237" customFormat="false" ht="15" hidden="false" customHeight="false" outlineLevel="0" collapsed="false">
      <c r="A237" s="5" t="n">
        <v>236</v>
      </c>
      <c r="B237" s="5" t="s">
        <v>40</v>
      </c>
      <c r="C237" s="5" t="s">
        <v>38</v>
      </c>
      <c r="D237" s="5" t="s">
        <v>25</v>
      </c>
      <c r="E237" s="5" t="s">
        <v>26</v>
      </c>
      <c r="F237" s="5" t="s">
        <v>16</v>
      </c>
      <c r="G237" s="5" t="n">
        <v>84</v>
      </c>
      <c r="H237" s="6" t="n">
        <v>55000</v>
      </c>
      <c r="I237" s="6" t="n">
        <f aca="false">G237*H237</f>
        <v>4620000</v>
      </c>
      <c r="J237" s="6" t="n">
        <v>1658729</v>
      </c>
      <c r="K237" s="7" t="n">
        <f aca="false">IF(J237&gt;0,I237/J237,0)</f>
        <v>2.78526510358232</v>
      </c>
      <c r="L237" s="5" t="str">
        <f aca="false">IF(K237&gt;=1,"✅ Achieved","❌ Below Target")</f>
        <v>✅ Achieved</v>
      </c>
    </row>
    <row r="238" customFormat="false" ht="15" hidden="false" customHeight="false" outlineLevel="0" collapsed="false">
      <c r="A238" s="2" t="n">
        <v>237</v>
      </c>
      <c r="B238" s="2" t="s">
        <v>40</v>
      </c>
      <c r="C238" s="2" t="s">
        <v>38</v>
      </c>
      <c r="D238" s="2" t="s">
        <v>25</v>
      </c>
      <c r="E238" s="2" t="s">
        <v>26</v>
      </c>
      <c r="F238" s="2" t="s">
        <v>17</v>
      </c>
      <c r="G238" s="2" t="n">
        <v>28</v>
      </c>
      <c r="H238" s="3" t="n">
        <v>18000</v>
      </c>
      <c r="I238" s="3" t="n">
        <f aca="false">G238*H238</f>
        <v>504000</v>
      </c>
      <c r="J238" s="3" t="n">
        <v>1401328</v>
      </c>
      <c r="K238" s="4" t="n">
        <f aca="false">IF(J238&gt;0,I238/J238,0)</f>
        <v>0.359658837902333</v>
      </c>
      <c r="L238" s="2" t="str">
        <f aca="false">IF(K238&gt;=1,"✅ Achieved","❌ Below Target")</f>
        <v>❌ Below Target</v>
      </c>
    </row>
    <row r="239" customFormat="false" ht="15" hidden="false" customHeight="false" outlineLevel="0" collapsed="false">
      <c r="A239" s="5" t="n">
        <v>238</v>
      </c>
      <c r="B239" s="5" t="s">
        <v>40</v>
      </c>
      <c r="C239" s="5" t="s">
        <v>38</v>
      </c>
      <c r="D239" s="5" t="s">
        <v>25</v>
      </c>
      <c r="E239" s="5" t="s">
        <v>26</v>
      </c>
      <c r="F239" s="5" t="s">
        <v>18</v>
      </c>
      <c r="G239" s="5" t="n">
        <v>26</v>
      </c>
      <c r="H239" s="6" t="n">
        <v>28000</v>
      </c>
      <c r="I239" s="6" t="n">
        <f aca="false">G239*H239</f>
        <v>728000</v>
      </c>
      <c r="J239" s="6" t="n">
        <v>587721</v>
      </c>
      <c r="K239" s="7" t="n">
        <f aca="false">IF(J239&gt;0,I239/J239,0)</f>
        <v>1.23868298052988</v>
      </c>
      <c r="L239" s="5" t="str">
        <f aca="false">IF(K239&gt;=1,"✅ Achieved","❌ Below Target")</f>
        <v>✅ Achieved</v>
      </c>
    </row>
    <row r="240" customFormat="false" ht="15" hidden="false" customHeight="false" outlineLevel="0" collapsed="false">
      <c r="A240" s="2" t="n">
        <v>239</v>
      </c>
      <c r="B240" s="2" t="s">
        <v>40</v>
      </c>
      <c r="C240" s="2" t="s">
        <v>38</v>
      </c>
      <c r="D240" s="2" t="s">
        <v>25</v>
      </c>
      <c r="E240" s="2" t="s">
        <v>26</v>
      </c>
      <c r="F240" s="2" t="s">
        <v>19</v>
      </c>
      <c r="G240" s="2" t="n">
        <v>49</v>
      </c>
      <c r="H240" s="3" t="n">
        <v>3500</v>
      </c>
      <c r="I240" s="3" t="n">
        <f aca="false">G240*H240</f>
        <v>171500</v>
      </c>
      <c r="J240" s="3" t="n">
        <v>1264729</v>
      </c>
      <c r="K240" s="4" t="n">
        <f aca="false">IF(J240&gt;0,I240/J240,0)</f>
        <v>0.135602172481219</v>
      </c>
      <c r="L240" s="2" t="str">
        <f aca="false">IF(K240&gt;=1,"✅ Achieved","❌ Below Target")</f>
        <v>❌ Below Target</v>
      </c>
    </row>
    <row r="241" customFormat="false" ht="15" hidden="false" customHeight="false" outlineLevel="0" collapsed="false">
      <c r="A241" s="5" t="n">
        <v>240</v>
      </c>
      <c r="B241" s="5" t="s">
        <v>40</v>
      </c>
      <c r="C241" s="5" t="s">
        <v>38</v>
      </c>
      <c r="D241" s="5" t="s">
        <v>25</v>
      </c>
      <c r="E241" s="5" t="s">
        <v>26</v>
      </c>
      <c r="F241" s="5" t="s">
        <v>20</v>
      </c>
      <c r="G241" s="5" t="n">
        <v>111</v>
      </c>
      <c r="H241" s="6" t="n">
        <v>12000</v>
      </c>
      <c r="I241" s="6" t="n">
        <f aca="false">G241*H241</f>
        <v>1332000</v>
      </c>
      <c r="J241" s="6" t="n">
        <v>583665</v>
      </c>
      <c r="K241" s="7" t="n">
        <f aca="false">IF(J241&gt;0,I241/J241,0)</f>
        <v>2.28213101693609</v>
      </c>
      <c r="L241" s="5" t="str">
        <f aca="false">IF(K241&gt;=1,"✅ Achieved","❌ Below Target")</f>
        <v>✅ Achieved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34.5" hidden="false" customHeight="true" outlineLevel="0" collapsed="false">
      <c r="A1" s="8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customFormat="false" ht="15" hidden="false" customHeight="false" outlineLevel="0" collapsed="false">
      <c r="A3" s="9" t="s">
        <v>42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10" t="s">
        <v>43</v>
      </c>
    </row>
    <row r="4" customFormat="false" ht="15" hidden="false" customHeight="false" outlineLevel="0" collapsed="false">
      <c r="A4" s="11" t="s">
        <v>14</v>
      </c>
      <c r="B4" s="12" t="n">
        <f aca="false">SUMIFS('Sales Data'!I$2:I$241,'Sales Data'!D$2:D$241,A4,'Sales Data'!F$2:F$241,"Laptop")</f>
        <v>38390000</v>
      </c>
      <c r="C4" s="12" t="n">
        <f aca="false">SUMIFS('Sales Data'!I$2:I$241,'Sales Data'!D$2:D$241,A4,'Sales Data'!F$2:F$241,"Mobile")</f>
        <v>11232000</v>
      </c>
      <c r="D4" s="12" t="n">
        <f aca="false">SUMIFS('Sales Data'!I$2:I$241,'Sales Data'!D$2:D$241,A4,'Sales Data'!F$2:F$241,"Tablet")</f>
        <v>21224000</v>
      </c>
      <c r="E4" s="12" t="n">
        <f aca="false">SUMIFS('Sales Data'!I$2:I$241,'Sales Data'!D$2:D$241,A4,'Sales Data'!F$2:F$241,"Accessories")</f>
        <v>2411500</v>
      </c>
      <c r="F4" s="12" t="n">
        <f aca="false">SUMIFS('Sales Data'!I$2:I$241,'Sales Data'!D$2:D$241,A4,'Sales Data'!F$2:F$241,"Software")</f>
        <v>9468000</v>
      </c>
      <c r="G4" s="13" t="n">
        <f aca="false">SUM(B4:F4)</f>
        <v>82725500</v>
      </c>
    </row>
    <row r="5" customFormat="false" ht="15" hidden="false" customHeight="false" outlineLevel="0" collapsed="false">
      <c r="A5" s="11" t="s">
        <v>21</v>
      </c>
      <c r="B5" s="12" t="n">
        <f aca="false">SUMIFS('Sales Data'!I$2:I$241,'Sales Data'!D$2:D$241,A5,'Sales Data'!F$2:F$241,"Laptop")</f>
        <v>47465000</v>
      </c>
      <c r="C5" s="12" t="n">
        <f aca="false">SUMIFS('Sales Data'!I$2:I$241,'Sales Data'!D$2:D$241,A5,'Sales Data'!F$2:F$241,"Mobile")</f>
        <v>13752000</v>
      </c>
      <c r="D5" s="12" t="n">
        <f aca="false">SUMIFS('Sales Data'!I$2:I$241,'Sales Data'!D$2:D$241,A5,'Sales Data'!F$2:F$241,"Tablet")</f>
        <v>25452000</v>
      </c>
      <c r="E5" s="12" t="n">
        <f aca="false">SUMIFS('Sales Data'!I$2:I$241,'Sales Data'!D$2:D$241,A5,'Sales Data'!F$2:F$241,"Accessories")</f>
        <v>2793000</v>
      </c>
      <c r="F5" s="12" t="n">
        <f aca="false">SUMIFS('Sales Data'!I$2:I$241,'Sales Data'!D$2:D$241,A5,'Sales Data'!F$2:F$241,"Software")</f>
        <v>7296000</v>
      </c>
      <c r="G5" s="13" t="n">
        <f aca="false">SUM(B5:F5)</f>
        <v>96758000</v>
      </c>
    </row>
    <row r="6" customFormat="false" ht="15" hidden="false" customHeight="false" outlineLevel="0" collapsed="false">
      <c r="A6" s="11" t="s">
        <v>23</v>
      </c>
      <c r="B6" s="12" t="n">
        <f aca="false">SUMIFS('Sales Data'!I$2:I$241,'Sales Data'!D$2:D$241,A6,'Sales Data'!F$2:F$241,"Laptop")</f>
        <v>38115000</v>
      </c>
      <c r="C6" s="12" t="n">
        <f aca="false">SUMIFS('Sales Data'!I$2:I$241,'Sales Data'!D$2:D$241,A6,'Sales Data'!F$2:F$241,"Mobile")</f>
        <v>11844000</v>
      </c>
      <c r="D6" s="12" t="n">
        <f aca="false">SUMIFS('Sales Data'!I$2:I$241,'Sales Data'!D$2:D$241,A6,'Sales Data'!F$2:F$241,"Tablet")</f>
        <v>24164000</v>
      </c>
      <c r="E6" s="12" t="n">
        <f aca="false">SUMIFS('Sales Data'!I$2:I$241,'Sales Data'!D$2:D$241,A6,'Sales Data'!F$2:F$241,"Accessories")</f>
        <v>2618000</v>
      </c>
      <c r="F6" s="12" t="n">
        <f aca="false">SUMIFS('Sales Data'!I$2:I$241,'Sales Data'!D$2:D$241,A6,'Sales Data'!F$2:F$241,"Software")</f>
        <v>7284000</v>
      </c>
      <c r="G6" s="13" t="n">
        <f aca="false">SUM(B6:F6)</f>
        <v>84025000</v>
      </c>
    </row>
    <row r="7" customFormat="false" ht="15" hidden="false" customHeight="false" outlineLevel="0" collapsed="false">
      <c r="A7" s="11" t="s">
        <v>25</v>
      </c>
      <c r="B7" s="12" t="n">
        <f aca="false">SUMIFS('Sales Data'!I$2:I$241,'Sales Data'!D$2:D$241,A7,'Sales Data'!F$2:F$241,"Laptop")</f>
        <v>33770000</v>
      </c>
      <c r="C7" s="12" t="n">
        <f aca="false">SUMIFS('Sales Data'!I$2:I$241,'Sales Data'!D$2:D$241,A7,'Sales Data'!F$2:F$241,"Mobile")</f>
        <v>13014000</v>
      </c>
      <c r="D7" s="12" t="n">
        <f aca="false">SUMIFS('Sales Data'!I$2:I$241,'Sales Data'!D$2:D$241,A7,'Sales Data'!F$2:F$241,"Tablet")</f>
        <v>23912000</v>
      </c>
      <c r="E7" s="12" t="n">
        <f aca="false">SUMIFS('Sales Data'!I$2:I$241,'Sales Data'!D$2:D$241,A7,'Sales Data'!F$2:F$241,"Accessories")</f>
        <v>1680000</v>
      </c>
      <c r="F7" s="12" t="n">
        <f aca="false">SUMIFS('Sales Data'!I$2:I$241,'Sales Data'!D$2:D$241,A7,'Sales Data'!F$2:F$241,"Software")</f>
        <v>9384000</v>
      </c>
      <c r="G7" s="13" t="n">
        <f aca="false">SUM(B7:F7)</f>
        <v>81760000</v>
      </c>
    </row>
    <row r="8" customFormat="false" ht="15" hidden="false" customHeight="false" outlineLevel="0" collapsed="false">
      <c r="A8" s="10" t="s">
        <v>43</v>
      </c>
      <c r="B8" s="13" t="n">
        <f aca="false">SUM(B4:B7)</f>
        <v>157740000</v>
      </c>
      <c r="C8" s="13" t="n">
        <f aca="false">SUM(C4:C7)</f>
        <v>49842000</v>
      </c>
      <c r="D8" s="13" t="n">
        <f aca="false">SUM(D4:D7)</f>
        <v>94752000</v>
      </c>
      <c r="E8" s="13" t="n">
        <f aca="false">SUM(E4:E7)</f>
        <v>9502500</v>
      </c>
      <c r="F8" s="13" t="n">
        <f aca="false">SUM(F4:F7)</f>
        <v>33432000</v>
      </c>
      <c r="G8" s="13" t="n">
        <f aca="false">SUM(G4:G7)</f>
        <v>345268500</v>
      </c>
    </row>
    <row r="10" customFormat="false" ht="16.15" hidden="false" customHeight="false" outlineLevel="0" collapsed="false">
      <c r="A10" s="14" t="s">
        <v>44</v>
      </c>
      <c r="B10" s="14"/>
      <c r="C10" s="14"/>
      <c r="D10" s="14"/>
    </row>
    <row r="11" customFormat="false" ht="15" hidden="false" customHeight="false" outlineLevel="0" collapsed="false">
      <c r="A11" s="9" t="s">
        <v>1</v>
      </c>
      <c r="B11" s="9" t="s">
        <v>8</v>
      </c>
      <c r="C11" s="9" t="s">
        <v>45</v>
      </c>
      <c r="D11" s="9" t="s">
        <v>10</v>
      </c>
    </row>
    <row r="12" customFormat="false" ht="15" hidden="false" customHeight="false" outlineLevel="0" collapsed="false">
      <c r="A12" s="15" t="s">
        <v>12</v>
      </c>
      <c r="B12" s="16" t="n">
        <f aca="false">SUMIF('Sales Data'!B$2:B$241,A12,'Sales Data'!I$2:I$241)</f>
        <v>24170000</v>
      </c>
      <c r="C12" s="16" t="n">
        <f aca="false">SUMIF('Sales Data'!B$2:B$241,A12,'Sales Data'!J$2:J$241)</f>
        <v>23538821</v>
      </c>
      <c r="D12" s="17" t="n">
        <f aca="false">IF(C12&gt;0,B12/C12,0)</f>
        <v>1.02681438462869</v>
      </c>
    </row>
    <row r="13" customFormat="false" ht="15" hidden="false" customHeight="false" outlineLevel="0" collapsed="false">
      <c r="A13" s="18" t="s">
        <v>27</v>
      </c>
      <c r="B13" s="19" t="n">
        <f aca="false">SUMIF('Sales Data'!B$2:B$241,A13,'Sales Data'!I$2:I$241)</f>
        <v>38295500</v>
      </c>
      <c r="C13" s="19" t="n">
        <f aca="false">SUMIF('Sales Data'!B$2:B$241,A13,'Sales Data'!J$2:J$241)</f>
        <v>21711394</v>
      </c>
      <c r="D13" s="20" t="n">
        <f aca="false">IF(C13&gt;0,B13/C13,0)</f>
        <v>1.7638434455199</v>
      </c>
    </row>
    <row r="14" customFormat="false" ht="15" hidden="false" customHeight="false" outlineLevel="0" collapsed="false">
      <c r="A14" s="15" t="s">
        <v>28</v>
      </c>
      <c r="B14" s="16" t="n">
        <f aca="false">SUMIF('Sales Data'!B$2:B$241,A14,'Sales Data'!I$2:I$241)</f>
        <v>33968500</v>
      </c>
      <c r="C14" s="16" t="n">
        <f aca="false">SUMIF('Sales Data'!B$2:B$241,A14,'Sales Data'!J$2:J$241)</f>
        <v>23718590</v>
      </c>
      <c r="D14" s="17" t="n">
        <f aca="false">IF(C14&gt;0,B14/C14,0)</f>
        <v>1.43214668325562</v>
      </c>
    </row>
    <row r="15" customFormat="false" ht="15" hidden="false" customHeight="false" outlineLevel="0" collapsed="false">
      <c r="A15" s="18" t="s">
        <v>29</v>
      </c>
      <c r="B15" s="19" t="n">
        <f aca="false">SUMIF('Sales Data'!B$2:B$241,A15,'Sales Data'!I$2:I$241)</f>
        <v>26555000</v>
      </c>
      <c r="C15" s="19" t="n">
        <f aca="false">SUMIF('Sales Data'!B$2:B$241,A15,'Sales Data'!J$2:J$241)</f>
        <v>27990146</v>
      </c>
      <c r="D15" s="20" t="n">
        <f aca="false">IF(C15&gt;0,B15/C15,0)</f>
        <v>0.94872674118956</v>
      </c>
    </row>
    <row r="16" customFormat="false" ht="15" hidden="false" customHeight="false" outlineLevel="0" collapsed="false">
      <c r="A16" s="15" t="s">
        <v>31</v>
      </c>
      <c r="B16" s="16" t="n">
        <f aca="false">SUMIF('Sales Data'!B$2:B$241,A16,'Sales Data'!I$2:I$241)</f>
        <v>32262000</v>
      </c>
      <c r="C16" s="16" t="n">
        <f aca="false">SUMIF('Sales Data'!B$2:B$241,A16,'Sales Data'!J$2:J$241)</f>
        <v>24997071</v>
      </c>
      <c r="D16" s="17" t="n">
        <f aca="false">IF(C16&gt;0,B16/C16,0)</f>
        <v>1.29063121035261</v>
      </c>
    </row>
    <row r="17" customFormat="false" ht="15" hidden="false" customHeight="false" outlineLevel="0" collapsed="false">
      <c r="A17" s="18" t="s">
        <v>32</v>
      </c>
      <c r="B17" s="19" t="n">
        <f aca="false">SUMIF('Sales Data'!B$2:B$241,A17,'Sales Data'!I$2:I$241)</f>
        <v>28885500</v>
      </c>
      <c r="C17" s="19" t="n">
        <f aca="false">SUMIF('Sales Data'!B$2:B$241,A17,'Sales Data'!J$2:J$241)</f>
        <v>26731621</v>
      </c>
      <c r="D17" s="20" t="n">
        <f aca="false">IF(C17&gt;0,B17/C17,0)</f>
        <v>1.0805742008687</v>
      </c>
    </row>
    <row r="18" customFormat="false" ht="15" hidden="false" customHeight="false" outlineLevel="0" collapsed="false">
      <c r="A18" s="15" t="s">
        <v>33</v>
      </c>
      <c r="B18" s="16" t="n">
        <f aca="false">SUMIF('Sales Data'!B$2:B$241,A18,'Sales Data'!I$2:I$241)</f>
        <v>23281500</v>
      </c>
      <c r="C18" s="16" t="n">
        <f aca="false">SUMIF('Sales Data'!B$2:B$241,A18,'Sales Data'!J$2:J$241)</f>
        <v>24976590</v>
      </c>
      <c r="D18" s="17" t="n">
        <f aca="false">IF(C18&gt;0,B18/C18,0)</f>
        <v>0.932132849199991</v>
      </c>
    </row>
    <row r="19" customFormat="false" ht="15" hidden="false" customHeight="false" outlineLevel="0" collapsed="false">
      <c r="A19" s="18" t="s">
        <v>35</v>
      </c>
      <c r="B19" s="19" t="n">
        <f aca="false">SUMIF('Sales Data'!B$2:B$241,A19,'Sales Data'!I$2:I$241)</f>
        <v>28213500</v>
      </c>
      <c r="C19" s="19" t="n">
        <f aca="false">SUMIF('Sales Data'!B$2:B$241,A19,'Sales Data'!J$2:J$241)</f>
        <v>22187064</v>
      </c>
      <c r="D19" s="20" t="n">
        <f aca="false">IF(C19&gt;0,B19/C19,0)</f>
        <v>1.271619354413</v>
      </c>
    </row>
    <row r="20" customFormat="false" ht="15" hidden="false" customHeight="false" outlineLevel="0" collapsed="false">
      <c r="A20" s="15" t="s">
        <v>36</v>
      </c>
      <c r="B20" s="16" t="n">
        <f aca="false">SUMIF('Sales Data'!B$2:B$241,A20,'Sales Data'!I$2:I$241)</f>
        <v>30877000</v>
      </c>
      <c r="C20" s="16" t="n">
        <f aca="false">SUMIF('Sales Data'!B$2:B$241,A20,'Sales Data'!J$2:J$241)</f>
        <v>23544030</v>
      </c>
      <c r="D20" s="17" t="n">
        <f aca="false">IF(C20&gt;0,B20/C20,0)</f>
        <v>1.31145772410246</v>
      </c>
    </row>
    <row r="21" customFormat="false" ht="15" hidden="false" customHeight="false" outlineLevel="0" collapsed="false">
      <c r="A21" s="18" t="s">
        <v>37</v>
      </c>
      <c r="B21" s="19" t="n">
        <f aca="false">SUMIF('Sales Data'!B$2:B$241,A21,'Sales Data'!I$2:I$241)</f>
        <v>28316000</v>
      </c>
      <c r="C21" s="19" t="n">
        <f aca="false">SUMIF('Sales Data'!B$2:B$241,A21,'Sales Data'!J$2:J$241)</f>
        <v>27718516</v>
      </c>
      <c r="D21" s="20" t="n">
        <f aca="false">IF(C21&gt;0,B21/C21,0)</f>
        <v>1.0215554108308</v>
      </c>
    </row>
    <row r="22" customFormat="false" ht="15" hidden="false" customHeight="false" outlineLevel="0" collapsed="false">
      <c r="A22" s="15" t="s">
        <v>39</v>
      </c>
      <c r="B22" s="16" t="n">
        <f aca="false">SUMIF('Sales Data'!B$2:B$241,A22,'Sales Data'!I$2:I$241)</f>
        <v>24840500</v>
      </c>
      <c r="C22" s="16" t="n">
        <f aca="false">SUMIF('Sales Data'!B$2:B$241,A22,'Sales Data'!J$2:J$241)</f>
        <v>25317807</v>
      </c>
      <c r="D22" s="17" t="n">
        <f aca="false">IF(C22&gt;0,B22/C22,0)</f>
        <v>0.981147379786883</v>
      </c>
    </row>
    <row r="23" customFormat="false" ht="15" hidden="false" customHeight="false" outlineLevel="0" collapsed="false">
      <c r="A23" s="18" t="s">
        <v>40</v>
      </c>
      <c r="B23" s="19" t="n">
        <f aca="false">SUMIF('Sales Data'!B$2:B$241,A23,'Sales Data'!I$2:I$241)</f>
        <v>25603500</v>
      </c>
      <c r="C23" s="19" t="n">
        <f aca="false">SUMIF('Sales Data'!B$2:B$241,A23,'Sales Data'!J$2:J$241)</f>
        <v>24607486</v>
      </c>
      <c r="D23" s="20" t="n">
        <f aca="false">IF(C23&gt;0,B23/C23,0)</f>
        <v>1.04047605675769</v>
      </c>
    </row>
  </sheetData>
  <mergeCells count="2">
    <mergeCell ref="A1:N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S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9"/>
  </cols>
  <sheetData>
    <row r="1" customFormat="false" ht="45" hidden="false" customHeight="true" outlineLevel="0" collapsed="false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customFormat="false" ht="15" hidden="false" customHeight="true" outlineLevel="0" collapsed="false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2"/>
    </row>
    <row r="3" customFormat="false" ht="15" hidden="false" customHeight="fals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customFormat="false" ht="15" hidden="false" customHeight="false" outlineLevel="0" collapsed="false">
      <c r="A4" s="22"/>
      <c r="B4" s="23" t="s">
        <v>47</v>
      </c>
      <c r="C4" s="23"/>
      <c r="D4" s="23"/>
      <c r="E4" s="22"/>
      <c r="F4" s="23" t="s">
        <v>48</v>
      </c>
      <c r="G4" s="23"/>
      <c r="H4" s="23"/>
      <c r="I4" s="22"/>
      <c r="J4" s="24" t="s">
        <v>49</v>
      </c>
      <c r="K4" s="24"/>
      <c r="L4" s="24"/>
      <c r="M4" s="22"/>
      <c r="N4" s="25" t="s">
        <v>50</v>
      </c>
      <c r="O4" s="25"/>
      <c r="P4" s="25"/>
      <c r="Q4" s="22"/>
      <c r="R4" s="22"/>
      <c r="S4" s="22"/>
    </row>
    <row r="5" customFormat="false" ht="15" hidden="false" customHeight="false" outlineLevel="0" collapsed="false">
      <c r="A5" s="22"/>
      <c r="B5" s="26" t="n">
        <f aca="false">SUM('Sales Data'!I2:I241)</f>
        <v>345268500</v>
      </c>
      <c r="C5" s="26"/>
      <c r="D5" s="26"/>
      <c r="E5" s="22"/>
      <c r="F5" s="26" t="n">
        <f aca="false">SUM('Sales Data'!J2:J241)</f>
        <v>297039136</v>
      </c>
      <c r="G5" s="26"/>
      <c r="H5" s="26"/>
      <c r="I5" s="22"/>
      <c r="J5" s="27" t="n">
        <f aca="false">SUM('Sales Data'!G2:G241)</f>
        <v>14522</v>
      </c>
      <c r="K5" s="27"/>
      <c r="L5" s="27"/>
      <c r="M5" s="22"/>
      <c r="N5" s="28" t="n">
        <f aca="false">IF(F5&gt;0,B5/F5,0)</f>
        <v>1.16236703570266</v>
      </c>
      <c r="O5" s="28"/>
      <c r="P5" s="28"/>
      <c r="Q5" s="22"/>
      <c r="R5" s="22"/>
      <c r="S5" s="22"/>
    </row>
    <row r="6" customFormat="false" ht="15" hidden="false" customHeight="false" outlineLevel="0" collapsed="false">
      <c r="A6" s="22"/>
      <c r="B6" s="26"/>
      <c r="C6" s="26"/>
      <c r="D6" s="26"/>
      <c r="E6" s="22"/>
      <c r="F6" s="26"/>
      <c r="G6" s="26"/>
      <c r="H6" s="26"/>
      <c r="I6" s="22"/>
      <c r="J6" s="27"/>
      <c r="K6" s="27"/>
      <c r="L6" s="27"/>
      <c r="M6" s="22"/>
      <c r="N6" s="28"/>
      <c r="O6" s="28"/>
      <c r="P6" s="28"/>
      <c r="Q6" s="22"/>
      <c r="R6" s="22"/>
      <c r="S6" s="22"/>
    </row>
    <row r="7" customFormat="false" ht="15" hidden="false" customHeight="false" outlineLevel="0" collapsed="false">
      <c r="A7" s="22"/>
      <c r="B7" s="26"/>
      <c r="C7" s="26"/>
      <c r="D7" s="26"/>
      <c r="E7" s="22"/>
      <c r="F7" s="26"/>
      <c r="G7" s="26"/>
      <c r="H7" s="26"/>
      <c r="I7" s="22"/>
      <c r="J7" s="27"/>
      <c r="K7" s="27"/>
      <c r="L7" s="27"/>
      <c r="M7" s="22"/>
      <c r="N7" s="28"/>
      <c r="O7" s="28"/>
      <c r="P7" s="28"/>
      <c r="Q7" s="22"/>
      <c r="R7" s="22"/>
      <c r="S7" s="22"/>
    </row>
    <row r="8" customFormat="false" ht="15" hidden="false" customHeight="fals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customFormat="false" ht="15" hidden="false" customHeight="fals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customFormat="false" ht="15" hidden="false" customHeight="fals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customFormat="false" ht="15" hidden="false" customHeight="false" outlineLevel="0" collapsed="false">
      <c r="A12" s="29" t="s">
        <v>3</v>
      </c>
      <c r="B12" s="29" t="s">
        <v>51</v>
      </c>
      <c r="C12" s="22"/>
      <c r="D12" s="22" t="s">
        <v>1</v>
      </c>
      <c r="E12" s="22" t="s">
        <v>51</v>
      </c>
      <c r="F12" s="22" t="s">
        <v>9</v>
      </c>
      <c r="G12" s="22"/>
      <c r="H12" s="22" t="s">
        <v>5</v>
      </c>
      <c r="I12" s="22" t="s">
        <v>51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customFormat="false" ht="15" hidden="false" customHeight="false" outlineLevel="0" collapsed="false">
      <c r="A13" s="22" t="s">
        <v>14</v>
      </c>
      <c r="B13" s="30" t="n">
        <f aca="false">SUMIF('Sales Data'!D$2:D$241,A13,'Sales Data'!I$2:I$241)</f>
        <v>82725500</v>
      </c>
      <c r="C13" s="22"/>
      <c r="D13" s="22" t="s">
        <v>12</v>
      </c>
      <c r="E13" s="22" t="n">
        <f aca="false">SUMIF('Sales Data'!B$2:B$241,D13,'Sales Data'!I$2:I$241)</f>
        <v>24170000</v>
      </c>
      <c r="F13" s="22" t="n">
        <f aca="false">SUMIF('Sales Data'!B$2:B$241,D13,'Sales Data'!J$2:J$241)</f>
        <v>23538821</v>
      </c>
      <c r="G13" s="22"/>
      <c r="H13" s="22" t="s">
        <v>16</v>
      </c>
      <c r="I13" s="22" t="n">
        <f aca="false">SUMIF('Sales Data'!F$2:F$241,H13,'Sales Data'!I$2:I$241)</f>
        <v>157740000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customFormat="false" ht="15" hidden="false" customHeight="false" outlineLevel="0" collapsed="false">
      <c r="A14" s="22" t="s">
        <v>21</v>
      </c>
      <c r="B14" s="30" t="n">
        <f aca="false">SUMIF('Sales Data'!D$2:D$241,A14,'Sales Data'!I$2:I$241)</f>
        <v>96758000</v>
      </c>
      <c r="C14" s="22"/>
      <c r="D14" s="22" t="s">
        <v>27</v>
      </c>
      <c r="E14" s="22" t="n">
        <f aca="false">SUMIF('Sales Data'!B$2:B$241,D14,'Sales Data'!I$2:I$241)</f>
        <v>38295500</v>
      </c>
      <c r="F14" s="22" t="n">
        <f aca="false">SUMIF('Sales Data'!B$2:B$241,D14,'Sales Data'!J$2:J$241)</f>
        <v>21711394</v>
      </c>
      <c r="G14" s="22"/>
      <c r="H14" s="22" t="s">
        <v>17</v>
      </c>
      <c r="I14" s="22" t="n">
        <f aca="false">SUMIF('Sales Data'!F$2:F$241,H14,'Sales Data'!I$2:I$241)</f>
        <v>49842000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customFormat="false" ht="15" hidden="false" customHeight="false" outlineLevel="0" collapsed="false">
      <c r="A15" s="22" t="s">
        <v>23</v>
      </c>
      <c r="B15" s="30" t="n">
        <f aca="false">SUMIF('Sales Data'!D$2:D$241,A15,'Sales Data'!I$2:I$241)</f>
        <v>84025000</v>
      </c>
      <c r="C15" s="22"/>
      <c r="D15" s="22" t="s">
        <v>28</v>
      </c>
      <c r="E15" s="22" t="n">
        <f aca="false">SUMIF('Sales Data'!B$2:B$241,D15,'Sales Data'!I$2:I$241)</f>
        <v>33968500</v>
      </c>
      <c r="F15" s="22" t="n">
        <f aca="false">SUMIF('Sales Data'!B$2:B$241,D15,'Sales Data'!J$2:J$241)</f>
        <v>23718590</v>
      </c>
      <c r="G15" s="22"/>
      <c r="H15" s="22" t="s">
        <v>18</v>
      </c>
      <c r="I15" s="22" t="n">
        <f aca="false">SUMIF('Sales Data'!F$2:F$241,H15,'Sales Data'!I$2:I$241)</f>
        <v>94752000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customFormat="false" ht="15" hidden="false" customHeight="false" outlineLevel="0" collapsed="false">
      <c r="A16" s="22" t="s">
        <v>25</v>
      </c>
      <c r="B16" s="30" t="n">
        <f aca="false">SUMIF('Sales Data'!D$2:D$241,A16,'Sales Data'!I$2:I$241)</f>
        <v>81760000</v>
      </c>
      <c r="C16" s="22"/>
      <c r="D16" s="22" t="s">
        <v>29</v>
      </c>
      <c r="E16" s="22" t="n">
        <f aca="false">SUMIF('Sales Data'!B$2:B$241,D16,'Sales Data'!I$2:I$241)</f>
        <v>26555000</v>
      </c>
      <c r="F16" s="22" t="n">
        <f aca="false">SUMIF('Sales Data'!B$2:B$241,D16,'Sales Data'!J$2:J$241)</f>
        <v>27990146</v>
      </c>
      <c r="G16" s="22"/>
      <c r="H16" s="22" t="s">
        <v>19</v>
      </c>
      <c r="I16" s="22" t="n">
        <f aca="false">SUMIF('Sales Data'!F$2:F$241,H16,'Sales Data'!I$2:I$241)</f>
        <v>9502500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customFormat="false" ht="15" hidden="false" customHeight="false" outlineLevel="0" collapsed="false">
      <c r="A17" s="22"/>
      <c r="B17" s="22"/>
      <c r="C17" s="22"/>
      <c r="D17" s="22" t="s">
        <v>31</v>
      </c>
      <c r="E17" s="22" t="n">
        <f aca="false">SUMIF('Sales Data'!B$2:B$241,D17,'Sales Data'!I$2:I$241)</f>
        <v>32262000</v>
      </c>
      <c r="F17" s="22" t="n">
        <f aca="false">SUMIF('Sales Data'!B$2:B$241,D17,'Sales Data'!J$2:J$241)</f>
        <v>24997071</v>
      </c>
      <c r="G17" s="22"/>
      <c r="H17" s="22" t="s">
        <v>20</v>
      </c>
      <c r="I17" s="22" t="n">
        <f aca="false">SUMIF('Sales Data'!F$2:F$241,H17,'Sales Data'!I$2:I$241)</f>
        <v>33432000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customFormat="false" ht="15" hidden="false" customHeight="false" outlineLevel="0" collapsed="false">
      <c r="A18" s="22"/>
      <c r="B18" s="22"/>
      <c r="C18" s="22"/>
      <c r="D18" s="22" t="s">
        <v>32</v>
      </c>
      <c r="E18" s="22" t="n">
        <f aca="false">SUMIF('Sales Data'!B$2:B$241,D18,'Sales Data'!I$2:I$241)</f>
        <v>28885500</v>
      </c>
      <c r="F18" s="22" t="n">
        <f aca="false">SUMIF('Sales Data'!B$2:B$241,D18,'Sales Data'!J$2:J$241)</f>
        <v>26731621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customFormat="false" ht="15" hidden="false" customHeight="false" outlineLevel="0" collapsed="false">
      <c r="A19" s="22"/>
      <c r="B19" s="22"/>
      <c r="C19" s="22"/>
      <c r="D19" s="22" t="s">
        <v>33</v>
      </c>
      <c r="E19" s="22" t="n">
        <f aca="false">SUMIF('Sales Data'!B$2:B$241,D19,'Sales Data'!I$2:I$241)</f>
        <v>23281500</v>
      </c>
      <c r="F19" s="22" t="n">
        <f aca="false">SUMIF('Sales Data'!B$2:B$241,D19,'Sales Data'!J$2:J$241)</f>
        <v>24976590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customFormat="false" ht="15" hidden="false" customHeight="false" outlineLevel="0" collapsed="false">
      <c r="A20" s="22"/>
      <c r="B20" s="22"/>
      <c r="C20" s="22"/>
      <c r="D20" s="22" t="s">
        <v>35</v>
      </c>
      <c r="E20" s="22" t="n">
        <f aca="false">SUMIF('Sales Data'!B$2:B$241,D20,'Sales Data'!I$2:I$241)</f>
        <v>28213500</v>
      </c>
      <c r="F20" s="22" t="n">
        <f aca="false">SUMIF('Sales Data'!B$2:B$241,D20,'Sales Data'!J$2:J$241)</f>
        <v>22187064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customFormat="false" ht="15" hidden="false" customHeight="false" outlineLevel="0" collapsed="false">
      <c r="A21" s="22"/>
      <c r="B21" s="22"/>
      <c r="C21" s="22"/>
      <c r="D21" s="22" t="s">
        <v>36</v>
      </c>
      <c r="E21" s="22" t="n">
        <f aca="false">SUMIF('Sales Data'!B$2:B$241,D21,'Sales Data'!I$2:I$241)</f>
        <v>30877000</v>
      </c>
      <c r="F21" s="22" t="n">
        <f aca="false">SUMIF('Sales Data'!B$2:B$241,D21,'Sales Data'!J$2:J$241)</f>
        <v>23544030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customFormat="false" ht="15" hidden="false" customHeight="false" outlineLevel="0" collapsed="false">
      <c r="A22" s="22"/>
      <c r="B22" s="22"/>
      <c r="C22" s="22"/>
      <c r="D22" s="22" t="s">
        <v>37</v>
      </c>
      <c r="E22" s="22" t="n">
        <f aca="false">SUMIF('Sales Data'!B$2:B$241,D22,'Sales Data'!I$2:I$241)</f>
        <v>28316000</v>
      </c>
      <c r="F22" s="22" t="n">
        <f aca="false">SUMIF('Sales Data'!B$2:B$241,D22,'Sales Data'!J$2:J$241)</f>
        <v>27718516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customFormat="false" ht="15" hidden="false" customHeight="false" outlineLevel="0" collapsed="false">
      <c r="A23" s="22"/>
      <c r="B23" s="22"/>
      <c r="C23" s="22"/>
      <c r="D23" s="22" t="s">
        <v>39</v>
      </c>
      <c r="E23" s="22" t="n">
        <f aca="false">SUMIF('Sales Data'!B$2:B$241,D23,'Sales Data'!I$2:I$241)</f>
        <v>24840500</v>
      </c>
      <c r="F23" s="22" t="n">
        <f aca="false">SUMIF('Sales Data'!B$2:B$241,D23,'Sales Data'!J$2:J$241)</f>
        <v>25317807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customFormat="false" ht="15" hidden="false" customHeight="false" outlineLevel="0" collapsed="false">
      <c r="A24" s="22"/>
      <c r="B24" s="22"/>
      <c r="C24" s="22"/>
      <c r="D24" s="22" t="s">
        <v>40</v>
      </c>
      <c r="E24" s="22" t="n">
        <f aca="false">SUMIF('Sales Data'!B$2:B$241,D24,'Sales Data'!I$2:I$241)</f>
        <v>25603500</v>
      </c>
      <c r="F24" s="22" t="n">
        <f aca="false">SUMIF('Sales Data'!B$2:B$241,D24,'Sales Data'!J$2:J$241)</f>
        <v>24607486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customFormat="false" ht="15" hidden="false" customHeight="fals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customFormat="false" ht="15" hidden="false" customHeight="fals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customFormat="false" ht="15" hidden="false" customHeight="fals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customFormat="false" ht="15" hidden="false" customHeight="fals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customFormat="false" ht="15" hidden="false" customHeight="fals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customFormat="false" ht="15" hidden="false" customHeight="fals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customFormat="false" ht="15" hidden="false" customHeight="fals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customFormat="false" ht="15" hidden="false" customHeight="fals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customFormat="false" ht="15" hidden="false" customHeight="fals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customFormat="false" ht="15" hidden="false" customHeight="fals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customFormat="false" ht="15" hidden="false" customHeight="fals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customFormat="false" ht="15" hidden="false" customHeight="fals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customFormat="false" ht="15" hidden="false" customHeight="fals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customFormat="false" ht="1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customFormat="false" ht="1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customFormat="false" ht="1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customFormat="false" ht="1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customFormat="false" ht="1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customFormat="false" ht="15" hidden="false" customHeight="fals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customFormat="false" ht="15" hidden="false" customHeight="fals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customFormat="false" ht="15" hidden="false" customHeight="fals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customFormat="false" ht="15" hidden="false" customHeight="fals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</sheetData>
  <mergeCells count="9">
    <mergeCell ref="A1:R2"/>
    <mergeCell ref="B4:D4"/>
    <mergeCell ref="F4:H4"/>
    <mergeCell ref="J4:L4"/>
    <mergeCell ref="N4:P4"/>
    <mergeCell ref="B5:D7"/>
    <mergeCell ref="F5:H7"/>
    <mergeCell ref="J5:L7"/>
    <mergeCell ref="N5:P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8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30" hidden="false" customHeight="true" outlineLevel="0" collapsed="false">
      <c r="A1" s="31" t="s">
        <v>52</v>
      </c>
      <c r="B1" s="31"/>
      <c r="C1" s="31"/>
      <c r="D1" s="31"/>
      <c r="E1" s="31"/>
      <c r="F1" s="31"/>
    </row>
    <row r="3" customFormat="false" ht="15" hidden="false" customHeight="false" outlineLevel="0" collapsed="false">
      <c r="A3" s="9" t="s">
        <v>3</v>
      </c>
      <c r="B3" s="9" t="s">
        <v>4</v>
      </c>
      <c r="C3" s="9" t="s">
        <v>8</v>
      </c>
      <c r="D3" s="9" t="s">
        <v>45</v>
      </c>
      <c r="E3" s="9" t="s">
        <v>10</v>
      </c>
      <c r="F3" s="9" t="s">
        <v>53</v>
      </c>
    </row>
    <row r="4" customFormat="false" ht="15" hidden="false" customHeight="false" outlineLevel="0" collapsed="false">
      <c r="A4" s="32" t="s">
        <v>14</v>
      </c>
      <c r="B4" s="32" t="s">
        <v>15</v>
      </c>
      <c r="C4" s="33" t="n">
        <f aca="false">SUMIF('Sales Data'!D$2:D$241,A4,'Sales Data'!I$2:I$241)</f>
        <v>82725500</v>
      </c>
      <c r="D4" s="33" t="n">
        <f aca="false">SUMIF('Sales Data'!D$2:D$241,A4,'Sales Data'!J$2:J$241)</f>
        <v>67777482</v>
      </c>
      <c r="E4" s="34" t="n">
        <f aca="false">IF(D4&gt;0,C4/D4,0)</f>
        <v>1.22054549031491</v>
      </c>
      <c r="F4" s="32" t="n">
        <f aca="false">RANK(C4,C$4:C$7,0)</f>
        <v>3</v>
      </c>
    </row>
    <row r="5" customFormat="false" ht="15" hidden="false" customHeight="false" outlineLevel="0" collapsed="false">
      <c r="A5" s="35" t="s">
        <v>21</v>
      </c>
      <c r="B5" s="35" t="s">
        <v>22</v>
      </c>
      <c r="C5" s="36" t="n">
        <f aca="false">SUMIF('Sales Data'!D$2:D$241,A5,'Sales Data'!I$2:I$241)</f>
        <v>96758000</v>
      </c>
      <c r="D5" s="36" t="n">
        <f aca="false">SUMIF('Sales Data'!D$2:D$241,A5,'Sales Data'!J$2:J$241)</f>
        <v>76131865</v>
      </c>
      <c r="E5" s="37" t="n">
        <f aca="false">IF(D5&gt;0,C5/D5,0)</f>
        <v>1.27092643796392</v>
      </c>
      <c r="F5" s="35" t="n">
        <f aca="false">RANK(C5,C$4:C$7,0)</f>
        <v>1</v>
      </c>
    </row>
    <row r="6" customFormat="false" ht="15" hidden="false" customHeight="false" outlineLevel="0" collapsed="false">
      <c r="A6" s="32" t="s">
        <v>23</v>
      </c>
      <c r="B6" s="32" t="s">
        <v>24</v>
      </c>
      <c r="C6" s="33" t="n">
        <f aca="false">SUMIF('Sales Data'!D$2:D$241,A6,'Sales Data'!I$2:I$241)</f>
        <v>84025000</v>
      </c>
      <c r="D6" s="33" t="n">
        <f aca="false">SUMIF('Sales Data'!D$2:D$241,A6,'Sales Data'!J$2:J$241)</f>
        <v>77198847</v>
      </c>
      <c r="E6" s="34" t="n">
        <f aca="false">IF(D6&gt;0,C6/D6,0)</f>
        <v>1.08842299160245</v>
      </c>
      <c r="F6" s="32" t="n">
        <f aca="false">RANK(C6,C$4:C$7,0)</f>
        <v>2</v>
      </c>
    </row>
    <row r="7" customFormat="false" ht="15" hidden="false" customHeight="false" outlineLevel="0" collapsed="false">
      <c r="A7" s="35" t="s">
        <v>25</v>
      </c>
      <c r="B7" s="35" t="s">
        <v>26</v>
      </c>
      <c r="C7" s="36" t="n">
        <f aca="false">SUMIF('Sales Data'!D$2:D$241,A7,'Sales Data'!I$2:I$241)</f>
        <v>81760000</v>
      </c>
      <c r="D7" s="36" t="n">
        <f aca="false">SUMIF('Sales Data'!D$2:D$241,A7,'Sales Data'!J$2:J$241)</f>
        <v>75930942</v>
      </c>
      <c r="E7" s="37" t="n">
        <f aca="false">IF(D7&gt;0,C7/D7,0)</f>
        <v>1.07676788732583</v>
      </c>
      <c r="F7" s="35" t="n">
        <f aca="false">RANK(C7,C$4:C$7,0)</f>
        <v>4</v>
      </c>
    </row>
    <row r="10" customFormat="false" ht="15" hidden="false" customHeight="false" outlineLevel="0" collapsed="false">
      <c r="A10" s="38" t="s">
        <v>54</v>
      </c>
      <c r="B10" s="38"/>
      <c r="C10" s="38"/>
      <c r="D10" s="38"/>
      <c r="E10" s="38"/>
      <c r="F10" s="38"/>
    </row>
    <row r="11" customFormat="false" ht="15" hidden="false" customHeight="false" outlineLevel="0" collapsed="false">
      <c r="A11" s="39" t="s">
        <v>55</v>
      </c>
      <c r="B11" s="40" t="s">
        <v>14</v>
      </c>
    </row>
    <row r="12" customFormat="false" ht="15" hidden="false" customHeight="false" outlineLevel="0" collapsed="false">
      <c r="A12" s="39" t="s">
        <v>56</v>
      </c>
      <c r="B12" s="41" t="str">
        <f aca="false">IFERROR(VLOOKUP(B11,A4:B7,2,0),"Region not found")</f>
        <v>Ramesh Kumar</v>
      </c>
    </row>
    <row r="13" customFormat="false" ht="15" hidden="false" customHeight="false" outlineLevel="0" collapsed="false">
      <c r="A13" s="39" t="s">
        <v>57</v>
      </c>
      <c r="B13" s="42" t="n">
        <f aca="false">IFERROR(VLOOKUP(B11,A4:C7,3,0),"N/A")</f>
        <v>82725500</v>
      </c>
    </row>
    <row r="14" customFormat="false" ht="15" hidden="false" customHeight="false" outlineLevel="0" collapsed="false">
      <c r="A14" s="39" t="s">
        <v>58</v>
      </c>
      <c r="B14" s="43" t="n">
        <f aca="false">IFERROR(VLOOKUP(B11,A4:E7,5,0),"N/A")</f>
        <v>1.22054549031491</v>
      </c>
    </row>
    <row r="15" customFormat="false" ht="15" hidden="false" customHeight="false" outlineLevel="0" collapsed="false">
      <c r="A15" s="39" t="s">
        <v>59</v>
      </c>
      <c r="B15" s="44" t="n">
        <f aca="false">IFERROR(VLOOKUP(B11,A4:F7,6,0),"N/A")</f>
        <v>3</v>
      </c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30" hidden="false" customHeight="true" outlineLevel="0" collapsed="false">
      <c r="A1" s="31" t="s">
        <v>60</v>
      </c>
      <c r="B1" s="31"/>
      <c r="C1" s="31"/>
      <c r="D1" s="31"/>
    </row>
    <row r="2" customFormat="false" ht="15" hidden="false" customHeight="false" outlineLevel="0" collapsed="false">
      <c r="A2" s="45"/>
      <c r="B2" s="46"/>
    </row>
    <row r="3" customFormat="false" ht="15" hidden="false" customHeight="false" outlineLevel="0" collapsed="false">
      <c r="A3" s="47" t="s">
        <v>61</v>
      </c>
      <c r="B3" s="46" t="s">
        <v>62</v>
      </c>
    </row>
    <row r="4" customFormat="false" ht="28.35" hidden="false" customHeight="false" outlineLevel="0" collapsed="false">
      <c r="A4" s="47" t="s">
        <v>63</v>
      </c>
      <c r="B4" s="46" t="s">
        <v>64</v>
      </c>
    </row>
    <row r="5" customFormat="false" ht="15" hidden="false" customHeight="false" outlineLevel="0" collapsed="false">
      <c r="A5" s="47" t="s">
        <v>65</v>
      </c>
      <c r="B5" s="46" t="s">
        <v>66</v>
      </c>
    </row>
    <row r="6" customFormat="false" ht="15" hidden="false" customHeight="false" outlineLevel="0" collapsed="false">
      <c r="A6" s="45"/>
      <c r="B6" s="46"/>
    </row>
    <row r="7" customFormat="false" ht="15" hidden="false" customHeight="false" outlineLevel="0" collapsed="false">
      <c r="A7" s="47" t="s">
        <v>67</v>
      </c>
      <c r="B7" s="46"/>
    </row>
    <row r="8" customFormat="false" ht="15" hidden="false" customHeight="false" outlineLevel="0" collapsed="false">
      <c r="A8" s="47" t="s">
        <v>68</v>
      </c>
      <c r="B8" s="46" t="s">
        <v>69</v>
      </c>
    </row>
    <row r="9" customFormat="false" ht="28.35" hidden="false" customHeight="false" outlineLevel="0" collapsed="false">
      <c r="A9" s="47" t="s">
        <v>70</v>
      </c>
      <c r="B9" s="46" t="s">
        <v>71</v>
      </c>
    </row>
    <row r="10" customFormat="false" ht="15" hidden="false" customHeight="false" outlineLevel="0" collapsed="false">
      <c r="A10" s="47" t="s">
        <v>72</v>
      </c>
      <c r="B10" s="46" t="s">
        <v>73</v>
      </c>
    </row>
    <row r="11" customFormat="false" ht="28.35" hidden="false" customHeight="false" outlineLevel="0" collapsed="false">
      <c r="A11" s="47" t="s">
        <v>74</v>
      </c>
      <c r="B11" s="46" t="s">
        <v>75</v>
      </c>
    </row>
    <row r="12" customFormat="false" ht="15" hidden="false" customHeight="false" outlineLevel="0" collapsed="false">
      <c r="A12" s="45"/>
      <c r="B12" s="46"/>
    </row>
    <row r="13" customFormat="false" ht="15" hidden="false" customHeight="false" outlineLevel="0" collapsed="false">
      <c r="A13" s="47" t="s">
        <v>76</v>
      </c>
      <c r="B13" s="46"/>
    </row>
    <row r="14" customFormat="false" ht="15" hidden="false" customHeight="false" outlineLevel="0" collapsed="false">
      <c r="A14" s="47" t="s">
        <v>77</v>
      </c>
      <c r="B14" s="46" t="s">
        <v>78</v>
      </c>
    </row>
    <row r="15" customFormat="false" ht="15" hidden="false" customHeight="false" outlineLevel="0" collapsed="false">
      <c r="A15" s="47" t="s">
        <v>79</v>
      </c>
      <c r="B15" s="46" t="s">
        <v>80</v>
      </c>
    </row>
    <row r="16" customFormat="false" ht="15" hidden="false" customHeight="false" outlineLevel="0" collapsed="false">
      <c r="A16" s="47" t="s">
        <v>81</v>
      </c>
      <c r="B16" s="46" t="s">
        <v>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30" hidden="false" customHeight="true" outlineLevel="0" collapsed="false">
      <c r="A1" s="48" t="s">
        <v>83</v>
      </c>
      <c r="B1" s="48"/>
      <c r="C1" s="48"/>
    </row>
    <row r="3" customFormat="false" ht="399.75" hidden="false" customHeight="true" outlineLevel="0" collapsed="false">
      <c r="A3" s="49" t="s">
        <v>84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2026-06-09T04:48:48Z</dcterms:created>
  <dc:creator>openpyxl</dc:creator>
  <dc:description/>
  <dc:language>en-US</dc:language>
  <cp:lastModifiedBy/>
  <dcterms:modified xsi:type="dcterms:W3CDTF">2026-06-09T04:51:56Z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